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ta staffinc_3" sheetId="2" r:id="rId6"/>
    <sheet state="hidden" name="data StaffInc" sheetId="3" r:id="rId7"/>
    <sheet state="hidden" name="Data StaffInc_2" sheetId="4" r:id="rId8"/>
    <sheet state="visible" name="Sheet2" sheetId="5" r:id="rId9"/>
    <sheet state="visible" name="Sheet3" sheetId="6" r:id="rId10"/>
  </sheets>
  <definedNames>
    <definedName hidden="1" localSheetId="1" name="_xlnm._FilterDatabase">'data staffinc_3'!$A$1:$V$139</definedName>
    <definedName hidden="1" localSheetId="4" name="_xlnm._FilterDatabase">Sheet2!$A$1:$F$124</definedName>
    <definedName hidden="1" localSheetId="5" name="_xlnm._FilterDatabase">Sheet3!$A$1:$P$132</definedName>
  </definedNames>
  <calcPr/>
</workbook>
</file>

<file path=xl/sharedStrings.xml><?xml version="1.0" encoding="utf-8"?>
<sst xmlns="http://schemas.openxmlformats.org/spreadsheetml/2006/main" count="6217" uniqueCount="1987">
  <si>
    <t>No</t>
  </si>
  <si>
    <t>Name*</t>
  </si>
  <si>
    <t>Mitra Sampingan's Name</t>
  </si>
  <si>
    <t>Employee ID*</t>
  </si>
  <si>
    <t>Position</t>
  </si>
  <si>
    <t>Area</t>
  </si>
  <si>
    <t>Branch Name</t>
  </si>
  <si>
    <t>Period</t>
  </si>
  <si>
    <t>Status</t>
  </si>
  <si>
    <t>Join Date</t>
  </si>
  <si>
    <t>Last Day (if inactive)</t>
  </si>
  <si>
    <t>Actual Working Days</t>
  </si>
  <si>
    <t>Effective Working Days</t>
  </si>
  <si>
    <t>Overtime Hours</t>
  </si>
  <si>
    <t>Basic Salary</t>
  </si>
  <si>
    <t>Tunjangan Outlet / Sales</t>
  </si>
  <si>
    <t>Active Contract start date</t>
  </si>
  <si>
    <t>Upah Lembur/jam</t>
  </si>
  <si>
    <t>Active Contract end date</t>
  </si>
  <si>
    <t>EWA</t>
  </si>
  <si>
    <t>Anggiza Gana Pawestri</t>
  </si>
  <si>
    <t>Adjustment (-)</t>
  </si>
  <si>
    <t>Phone Number*</t>
  </si>
  <si>
    <t>THP</t>
  </si>
  <si>
    <t>Email</t>
  </si>
  <si>
    <t>Notes Basic Salary</t>
  </si>
  <si>
    <t>Notes Overtime</t>
  </si>
  <si>
    <t>Gender</t>
  </si>
  <si>
    <t>Notes Adjustment</t>
  </si>
  <si>
    <t>Annisa</t>
  </si>
  <si>
    <t>KTP Number</t>
  </si>
  <si>
    <t>Note from Staffinc to MITO</t>
  </si>
  <si>
    <t>Date of Birth</t>
  </si>
  <si>
    <t>Firda Duri Yatinal Ulya</t>
  </si>
  <si>
    <t>Birth Place Code</t>
  </si>
  <si>
    <t>Elisa Putra Afdiono</t>
  </si>
  <si>
    <t>Religion</t>
  </si>
  <si>
    <t>Blood Type</t>
  </si>
  <si>
    <t>I Ketut Sugiarta</t>
  </si>
  <si>
    <t>Marital Status</t>
  </si>
  <si>
    <t>Adelina Astuti</t>
  </si>
  <si>
    <t>SPG/SPB Toko</t>
  </si>
  <si>
    <t>JABO</t>
  </si>
  <si>
    <t>Domicile Province Code</t>
  </si>
  <si>
    <t>JABO - HARAPAN BARU</t>
  </si>
  <si>
    <t>Ari Kusumawati</t>
  </si>
  <si>
    <t>Domicile City Code</t>
  </si>
  <si>
    <t>25 Jul 2026 - 24 Aug 2026</t>
  </si>
  <si>
    <t>inactive</t>
  </si>
  <si>
    <t>Firda Nur Agustin Cahyani</t>
  </si>
  <si>
    <t>Domicile District Code</t>
  </si>
  <si>
    <t>Domicile Address</t>
  </si>
  <si>
    <t>Habib Mustopa</t>
  </si>
  <si>
    <t>Faisol Adha</t>
  </si>
  <si>
    <t>Status*</t>
  </si>
  <si>
    <t>Fitri Wulandari</t>
  </si>
  <si>
    <t>Deactivation Type</t>
  </si>
  <si>
    <t>Hendrika Buwa</t>
  </si>
  <si>
    <t>Receive Resignation Request At</t>
  </si>
  <si>
    <t>Agus Tianing Rum</t>
  </si>
  <si>
    <t>Last Day</t>
  </si>
  <si>
    <t>Inactive Reason</t>
  </si>
  <si>
    <t>Jesty Ananda</t>
  </si>
  <si>
    <t>Inactive Notes</t>
  </si>
  <si>
    <t>Firanda</t>
  </si>
  <si>
    <t>External Employee ID</t>
  </si>
  <si>
    <t>Entity</t>
  </si>
  <si>
    <t>Dinda Sri Rahayu</t>
  </si>
  <si>
    <t>Deployment Province Code</t>
  </si>
  <si>
    <t>Deployment City Code</t>
  </si>
  <si>
    <t>Gusti Rusmiami</t>
  </si>
  <si>
    <t>Hari Kerja: 28 / 26    x    5729876</t>
  </si>
  <si>
    <t>Deployment District Code</t>
  </si>
  <si>
    <t>Total jam lembur yang disetujui =</t>
  </si>
  <si>
    <t>Ela Siska Ariatun</t>
  </si>
  <si>
    <t>Deployment Group</t>
  </si>
  <si>
    <t>Employement type</t>
  </si>
  <si>
    <t>Ainun Jariyah</t>
  </si>
  <si>
    <t>BANJARMASIN</t>
  </si>
  <si>
    <t>Contract type</t>
  </si>
  <si>
    <t>BANJARMASIN - POS ELEKTRONIK</t>
  </si>
  <si>
    <t>Fhadila Rahmatika Haya</t>
  </si>
  <si>
    <t>Digital Signature ID</t>
  </si>
  <si>
    <t>Apriliyani</t>
  </si>
  <si>
    <t>Project</t>
  </si>
  <si>
    <t>Fahrur Reza</t>
  </si>
  <si>
    <t>Branch ID</t>
  </si>
  <si>
    <t>Hari Kerja: 30 / 26    x    3855894</t>
  </si>
  <si>
    <t>Payroll Group ID</t>
  </si>
  <si>
    <t>Ilham Ansyar</t>
  </si>
  <si>
    <t>Leave Policy</t>
  </si>
  <si>
    <t>BPJS TK Number</t>
  </si>
  <si>
    <t>BPJS Kesehatan Number</t>
  </si>
  <si>
    <t>NPWP</t>
  </si>
  <si>
    <t>BPJS Kesehatan Eligibility</t>
  </si>
  <si>
    <t>BPJS TK Eligibility</t>
  </si>
  <si>
    <t>BPJS TK Membership</t>
  </si>
  <si>
    <t>BPJS TK Program</t>
  </si>
  <si>
    <t>Irma Fitriani</t>
  </si>
  <si>
    <t>PTKP Status</t>
  </si>
  <si>
    <t>MAKASSAR</t>
  </si>
  <si>
    <t>MAKASSAR - MAXI PERINTIS</t>
  </si>
  <si>
    <t>Payment Channel Type</t>
  </si>
  <si>
    <t>Payment Channel Code</t>
  </si>
  <si>
    <t>Payment Account Name</t>
  </si>
  <si>
    <t>Hari Kerja: 27 / 26    x    4148179</t>
  </si>
  <si>
    <t>Payment Account Number</t>
  </si>
  <si>
    <t>Retno Dwi Ningrum</t>
  </si>
  <si>
    <t>PALEMBANG</t>
  </si>
  <si>
    <t>Emergency Contact’s Full Name</t>
  </si>
  <si>
    <t>PALEMBANG - DAPOER MUTIARA (CV PELITA MAS)</t>
  </si>
  <si>
    <t>Emergency Contact’s Phone Number</t>
  </si>
  <si>
    <t>Emergency Contact’s Address</t>
  </si>
  <si>
    <t>Emergency Contact's Relation to Employee</t>
  </si>
  <si>
    <t>Hari Kerja: 27 / 26    x    4192837</t>
  </si>
  <si>
    <t>SAMARINDA</t>
  </si>
  <si>
    <t>SAMARINDA - NUANSA IMAM BONJOL</t>
  </si>
  <si>
    <t>Hari Kerja: 28 / 26    x    3983882</t>
  </si>
  <si>
    <t>Yahya</t>
  </si>
  <si>
    <t>Mochamad Abdi Akbar</t>
  </si>
  <si>
    <t>anggi_zhie@yahoo.com</t>
  </si>
  <si>
    <t>Widya Kusuma</t>
  </si>
  <si>
    <t>Female</t>
  </si>
  <si>
    <t>Widana</t>
  </si>
  <si>
    <t>3175104409860007</t>
  </si>
  <si>
    <t>Siti Maryam</t>
  </si>
  <si>
    <t>SURABAYA</t>
  </si>
  <si>
    <t>SURABAYA - OGAN BANDULAN &amp; OGAN BONDOWOSO</t>
  </si>
  <si>
    <t>Islam</t>
  </si>
  <si>
    <t>Herdy Yansyah</t>
  </si>
  <si>
    <t>O</t>
  </si>
  <si>
    <t>Kawin</t>
  </si>
  <si>
    <t>Winda Mardiana</t>
  </si>
  <si>
    <t>Jl. Buni Malaka, Rt. 006, Rw. 008, Kel. Munjul, Kec. Cipayung</t>
  </si>
  <si>
    <t>Hari Kerja: 27 / 26    x    5288796</t>
  </si>
  <si>
    <t>Darussalam</t>
  </si>
  <si>
    <t>Inactive</t>
  </si>
  <si>
    <t>Now</t>
  </si>
  <si>
    <t>Elga Pratangkas</t>
  </si>
  <si>
    <t>SURABAYA - TOENG MARKET JAKSA AGUNG SUPRAPTO</t>
  </si>
  <si>
    <t>Ahmad Gumilar</t>
  </si>
  <si>
    <t>Agustina Galuh Prihaningtyas</t>
  </si>
  <si>
    <t>Devi Isvaradilla Agrully</t>
  </si>
  <si>
    <t>selesai project</t>
  </si>
  <si>
    <t>Reva Azzahra</t>
  </si>
  <si>
    <t>PT Kita Mitra Indonesia</t>
  </si>
  <si>
    <t>Khoirunnisa Yuliana</t>
  </si>
  <si>
    <t>Full-Time</t>
  </si>
  <si>
    <t>MAKASSAR - STAR KITCHEN</t>
  </si>
  <si>
    <t>Kemitraan</t>
  </si>
  <si>
    <t>Siti Arimah</t>
  </si>
  <si>
    <t>Siti Maslikah</t>
  </si>
  <si>
    <t>Charles Setiawan</t>
  </si>
  <si>
    <t>Active</t>
  </si>
  <si>
    <t>BPU</t>
  </si>
  <si>
    <t>Hari Kerja: 26 / 26    x    4148179</t>
  </si>
  <si>
    <t>JKM;JKK</t>
  </si>
  <si>
    <t>Moh Nurdiansyah</t>
  </si>
  <si>
    <t>TK/1</t>
  </si>
  <si>
    <t>Sri Astuti</t>
  </si>
  <si>
    <t>Bank</t>
  </si>
  <si>
    <t>Afrizal Adinata</t>
  </si>
  <si>
    <t>BCA</t>
  </si>
  <si>
    <t>PEKANBARU</t>
  </si>
  <si>
    <t>ANGGIZA GANA PAWESTRI</t>
  </si>
  <si>
    <t>PEKANBARU - GOLDEN DRAGON ELEKTRONIK</t>
  </si>
  <si>
    <t>Febry Valentino</t>
  </si>
  <si>
    <t>Rangga</t>
  </si>
  <si>
    <t>Jl.buni malaka GG mushola 1 Rt06/08 no 15</t>
  </si>
  <si>
    <t>Elisabeth Novi Yanti Ayu N</t>
  </si>
  <si>
    <t>Suami</t>
  </si>
  <si>
    <t>Nurista Afninda Waqiatul Q</t>
  </si>
  <si>
    <t>Hari Kerja: 27 / 26    x    3998179</t>
  </si>
  <si>
    <t>annisaauliani11@gmail.com</t>
  </si>
  <si>
    <t>Priya Thadhea</t>
  </si>
  <si>
    <t>Umayah mirani</t>
  </si>
  <si>
    <t>SPG/SPB Outlet</t>
  </si>
  <si>
    <t>OUTLET</t>
  </si>
  <si>
    <t>Dila Puspita</t>
  </si>
  <si>
    <t>OUTLET - JABODETABEK - MALL KELAPA GADING</t>
  </si>
  <si>
    <t>Anisa Nurajijah</t>
  </si>
  <si>
    <t>Keramat Raya Gg Satu Dua Rt.10 No.37D Kecamatan Banjarmasin Timur Kelurahan Sungai Bilu Banjarmasin 70236</t>
  </si>
  <si>
    <t>Wahyu Hidayat</t>
  </si>
  <si>
    <t>Fuji Restu Nurani</t>
  </si>
  <si>
    <t>Hari Kerja: 29 / 26    x    5729876</t>
  </si>
  <si>
    <t>Syfa Ayu Dwi Cahyani</t>
  </si>
  <si>
    <t>Mawar</t>
  </si>
  <si>
    <t>Devi Eriyanti</t>
  </si>
  <si>
    <t>Hagai Hendrik Yonathan</t>
  </si>
  <si>
    <t>K/3</t>
  </si>
  <si>
    <t>Ayu Novitaningsih</t>
  </si>
  <si>
    <t>Hari Kerja: 30 / 26    x    5729876</t>
  </si>
  <si>
    <t>ANNISA</t>
  </si>
  <si>
    <t>Martin Agustian</t>
  </si>
  <si>
    <t>Joko Supriatna</t>
  </si>
  <si>
    <t>rini yulianti</t>
  </si>
  <si>
    <t>Sitti Aisyah Syafitri</t>
  </si>
  <si>
    <t>jl keramat gg satu dua rt.10 no.37d</t>
  </si>
  <si>
    <t>Ibu</t>
  </si>
  <si>
    <t>Wartini</t>
  </si>
  <si>
    <t>Moy Yustiwa</t>
  </si>
  <si>
    <t>firdaduriatinalulya@gmail.com</t>
  </si>
  <si>
    <t>Mardatillah</t>
  </si>
  <si>
    <t>6472056708950005</t>
  </si>
  <si>
    <t>Mohammad Hidayat</t>
  </si>
  <si>
    <t>BANDUNG</t>
  </si>
  <si>
    <t>BANDUNG - TOKO SINAR GUNTUR</t>
  </si>
  <si>
    <t>Belum Kawin</t>
  </si>
  <si>
    <t>Neni Rahayu</t>
  </si>
  <si>
    <t>Jl. Pemuda 2 Gg. Pendawa Blok. E. No. 86, Rt. 012, Rw.000, Kel. Temindung Permai, Kec. Sungai Pinang</t>
  </si>
  <si>
    <t>Deni Lindiansah</t>
  </si>
  <si>
    <t>Hari Kerja: 28 / 26    x    2472227</t>
  </si>
  <si>
    <t>Rista bellawati basuki</t>
  </si>
  <si>
    <t>Bagus Dwi Ardiansyah</t>
  </si>
  <si>
    <t>SEMARANG</t>
  </si>
  <si>
    <t>Muhtar</t>
  </si>
  <si>
    <t>SEMARANG - WIJAYA ELEKTRONIK</t>
  </si>
  <si>
    <t>Liya Nataliya</t>
  </si>
  <si>
    <t>Isma Kurniawati</t>
  </si>
  <si>
    <t>TK/0</t>
  </si>
  <si>
    <t>Hari Kerja: 27 / 26    x    4233374</t>
  </si>
  <si>
    <t>Prakas Armando Yuwono</t>
  </si>
  <si>
    <t>FIRDA DURI YATINAL ULYA</t>
  </si>
  <si>
    <t>Suci Ramadhani</t>
  </si>
  <si>
    <t>Ani</t>
  </si>
  <si>
    <t>Mustakim</t>
  </si>
  <si>
    <t>jl.gelatik blok.c</t>
  </si>
  <si>
    <t>Saudara Kandung</t>
  </si>
  <si>
    <t>PEKANBARU - BERKAT ELEKTRONIK</t>
  </si>
  <si>
    <t>Rekha Riakiah</t>
  </si>
  <si>
    <t>zolla041123@gmail.com</t>
  </si>
  <si>
    <t>Utami Septi Cahyani</t>
  </si>
  <si>
    <t>3578024803960005</t>
  </si>
  <si>
    <t>Rizky Nanda Karunia</t>
  </si>
  <si>
    <t>Hari Kerja: 27 / 26    x    3898210</t>
  </si>
  <si>
    <t>Marni Dwi widiyaningsih</t>
  </si>
  <si>
    <t>Nada Fadhillah Shobah</t>
  </si>
  <si>
    <t>Margorejo 2-G/32, Rt. 004, Rw. 003, Kel. Margorejo, Kec. Wonocolo</t>
  </si>
  <si>
    <t>Tendy Anugerah Saputro</t>
  </si>
  <si>
    <t>MEDAN</t>
  </si>
  <si>
    <t>MEDAN - SH MART ELEKTRONIK</t>
  </si>
  <si>
    <t>M. Gedy Kolipatuloh</t>
  </si>
  <si>
    <t>Eza Adela</t>
  </si>
  <si>
    <t>Fatra Laily</t>
  </si>
  <si>
    <t>Hari Kerja: 25 / 26    x    4335198</t>
  </si>
  <si>
    <t>Yunita Eka Anggraeni</t>
  </si>
  <si>
    <t>Paramita Restuningtyas</t>
  </si>
  <si>
    <t>Arenta putri Widyaningsih</t>
  </si>
  <si>
    <t>SEMARANG - PIRANTI HOUSEWARE</t>
  </si>
  <si>
    <t>ID Karyawan (Auto Generate)</t>
  </si>
  <si>
    <t>Yeremia Alexander</t>
  </si>
  <si>
    <t>Sisi septiana</t>
  </si>
  <si>
    <t>Sabila Fadillah</t>
  </si>
  <si>
    <t>Hari Kerja: 27 / 26    x    3701709</t>
  </si>
  <si>
    <t>ELISA PUTRA AFDIONO</t>
  </si>
  <si>
    <t>Nur Rahmah</t>
  </si>
  <si>
    <t>Yuliana Siswanti</t>
  </si>
  <si>
    <t>andre</t>
  </si>
  <si>
    <t>Helen Budi Yana</t>
  </si>
  <si>
    <t>margorejo 2g no 32</t>
  </si>
  <si>
    <t>OUTLET - SURABAYA - TUNJUNGAN PLAZA</t>
  </si>
  <si>
    <t>Ferdinand Anthonius Harianja</t>
  </si>
  <si>
    <t>sugiartha9977@gmail.com</t>
  </si>
  <si>
    <t>Wahyu Septi Dwi Utari</t>
  </si>
  <si>
    <t>Hari Kerja: 26 / 26    x    5288796</t>
  </si>
  <si>
    <t>Male</t>
  </si>
  <si>
    <t>7208090909970002</t>
  </si>
  <si>
    <t>Ardi Basri</t>
  </si>
  <si>
    <t>Fathir Aula Ni'am</t>
  </si>
  <si>
    <t>Hindu</t>
  </si>
  <si>
    <t>Mualling</t>
  </si>
  <si>
    <t>Dusun Iv , Rt. 000 , Rw. 000 , Kel. Tolai Barat , Kec. Torue - Sulawesi Tengah</t>
  </si>
  <si>
    <t>Ferdiyan</t>
  </si>
  <si>
    <t>Heri Suprihatin</t>
  </si>
  <si>
    <t>Balqis Ayudia Pramesti</t>
  </si>
  <si>
    <t>Fiqri Nur Arfindiyani Putri</t>
  </si>
  <si>
    <t>Muhammad Hafrizal</t>
  </si>
  <si>
    <t>Indriyani</t>
  </si>
  <si>
    <t>Gabriella Marchelline Blandina Romkeny</t>
  </si>
  <si>
    <t>Nama Karyawan (sesuai KTP)</t>
  </si>
  <si>
    <t>Chamida Ananda Septiani</t>
  </si>
  <si>
    <t>Uun Yanuarti</t>
  </si>
  <si>
    <t>Fransiskus Xaverius K Koten</t>
  </si>
  <si>
    <t>I KETUT SUGIARTA</t>
  </si>
  <si>
    <t>BANJARMASIN - PONDOK ELEKTRONIK</t>
  </si>
  <si>
    <t>Alamat sesuai KTP</t>
  </si>
  <si>
    <t>Luh Yoni Kamala</t>
  </si>
  <si>
    <t>Dewi Pramudita</t>
  </si>
  <si>
    <t>adelinemeidian@gmail.com</t>
  </si>
  <si>
    <t>Hari Kerja: 25 / 26    x    3855894</t>
  </si>
  <si>
    <t>Tanggal Lahir</t>
  </si>
  <si>
    <t>3207195305920001</t>
  </si>
  <si>
    <t>AB</t>
  </si>
  <si>
    <t>SAMARINDA - MAMASUKA</t>
  </si>
  <si>
    <t>Kota Kelahiran</t>
  </si>
  <si>
    <t>Dusun Tamansari , Rt. 012 , Rw. 004 , Kel. Kertahayu , Kec. Pamarican - Jawa Barat</t>
  </si>
  <si>
    <t>Finished - End of Contract</t>
  </si>
  <si>
    <t>Hari Kerja: 26 / 26    x    3983882</t>
  </si>
  <si>
    <t>Pendidikan Terakhir</t>
  </si>
  <si>
    <t>Sulaiman</t>
  </si>
  <si>
    <t>MAKASSAR - SEMERU PERINTIS</t>
  </si>
  <si>
    <t>No WA (Aktif)</t>
  </si>
  <si>
    <t>Hari Kerja: 28 / 26    x    4148179</t>
  </si>
  <si>
    <t>Alamat Email (Aktif)</t>
  </si>
  <si>
    <t>Putri Ananda</t>
  </si>
  <si>
    <t>MEDAN - WIEGO HOUSEWARE TRITURA</t>
  </si>
  <si>
    <t>ADELINA ASTUTI</t>
  </si>
  <si>
    <t>Nama Jabatan</t>
  </si>
  <si>
    <t>Hari Kerja: 22 / 26    x    4335198</t>
  </si>
  <si>
    <t>Nama  Lokasi kerja 
(jika promotor sebutkan nama toko penempatan)</t>
  </si>
  <si>
    <t>nayarengganis25@gmail.com</t>
  </si>
  <si>
    <t>Nurmalita Widiyanti</t>
  </si>
  <si>
    <t>Nama Kota/ Kabupaten
Lokasi Kerja</t>
  </si>
  <si>
    <t>SURABAYA - CV OMEGA SEJAHTERA</t>
  </si>
  <si>
    <t>3171026709890003</t>
  </si>
  <si>
    <t>No Rekening BCA (Aktif)</t>
  </si>
  <si>
    <t>Jl. Gn Sahari Ix , Rt. 005 , Rw. 004 , Kel. Gunung Sahari Utara , Kec. Sawah Besar - Jakarta Pusat</t>
  </si>
  <si>
    <t>Hari Kerja: 27 / 26    x    2628190</t>
  </si>
  <si>
    <t>Rindiani Herdialova</t>
  </si>
  <si>
    <t>PADANG</t>
  </si>
  <si>
    <t>PADANG - A FAUZI</t>
  </si>
  <si>
    <t>Tgl join di Mito</t>
  </si>
  <si>
    <t>Tgl awal kontrak (dg Damarindo)</t>
  </si>
  <si>
    <t>Hari Kerja: 25 / 26    x    3182955</t>
  </si>
  <si>
    <t>Nany Maria Panjaitan</t>
  </si>
  <si>
    <t>Tgl akhir kontrak (StaffInc)</t>
  </si>
  <si>
    <t>SURABAYA - PERDANA MANYAR</t>
  </si>
  <si>
    <t>Nama Cabang
(Cost Center)</t>
  </si>
  <si>
    <t>ARI KUSUMAWATI</t>
  </si>
  <si>
    <t>firdanac1608@gmail.com</t>
  </si>
  <si>
    <t>3205055608020002</t>
  </si>
  <si>
    <t>Skema Penggajian</t>
  </si>
  <si>
    <t>Hari Kerja: 29 / 26    x    5288796</t>
  </si>
  <si>
    <t>A</t>
  </si>
  <si>
    <t>Total jam lembur yang disetujui = 2</t>
  </si>
  <si>
    <t>Yeni Angraini</t>
  </si>
  <si>
    <t>Nominal UMK yang dipakai</t>
  </si>
  <si>
    <t>MAKASSAR - HOKKY HOUSE WARE</t>
  </si>
  <si>
    <t>Kp. Leuwi Daun , Rt. 003 , Rw. 008 , Kel. Haurpanggung , Kec. Tarogong Kidul - Jawa Barat</t>
  </si>
  <si>
    <t>Amount Gaji Pokok</t>
  </si>
  <si>
    <t>Hari Kerja: 24 / 26    x    4148179</t>
  </si>
  <si>
    <t>AgusTia ningRum</t>
  </si>
  <si>
    <t>BANJARMASIN - NUANSA PANGKALANBUN</t>
  </si>
  <si>
    <t>Amount Insentif 30%</t>
  </si>
  <si>
    <t>Hari Kerja: 27 / 26    x    3909005</t>
  </si>
  <si>
    <t>FIRDA NUR AGUSTIN CAHYAN</t>
  </si>
  <si>
    <t>Mesrawati Lase</t>
  </si>
  <si>
    <t>MEDAN - IRAMA HOUSEWARE</t>
  </si>
  <si>
    <t>Remarks</t>
  </si>
  <si>
    <t>habibmustopa25@gmail.com</t>
  </si>
  <si>
    <t>3205312107020002</t>
  </si>
  <si>
    <t>Basic Salary (StaffInc)</t>
  </si>
  <si>
    <t>SAMARINDA - NUANSA TENGGARONG</t>
  </si>
  <si>
    <t>Kp Cihikeu , Rt. 001 , Rw. 003 , Kel. Cihikeu , Kec. Bungbulang - Jawa Barat</t>
  </si>
  <si>
    <t>Tunjangan (StaffInc)</t>
  </si>
  <si>
    <t>Hari Kerja: 28 / 26    x    3991797</t>
  </si>
  <si>
    <t>Total</t>
  </si>
  <si>
    <t>PALEMBANG - MDP SUPERSTORE</t>
  </si>
  <si>
    <t>Yustika Kaimuddin</t>
  </si>
  <si>
    <t>HABIB MUSTOPA</t>
  </si>
  <si>
    <t>MAKASSAR - MAXI ALAUDDIN</t>
  </si>
  <si>
    <t>DM20260001</t>
  </si>
  <si>
    <t>imas masliah</t>
  </si>
  <si>
    <t>Jln Cihikeu Desa Cihikeu Kec Bungbulang garut</t>
  </si>
  <si>
    <t>Faisol.adha03@gmail.com</t>
  </si>
  <si>
    <t>BANDUNG - LOGIN MEGASTORE (ABC)</t>
  </si>
  <si>
    <t>3506052009940003</t>
  </si>
  <si>
    <t>Abel Saskia Putri</t>
  </si>
  <si>
    <t>Hari Kerja: 28 / 26    x    4737678</t>
  </si>
  <si>
    <t>Owen Jehezkiel Wijaya</t>
  </si>
  <si>
    <t>SURABAYA - SUPER MURAH SURABAYA 2</t>
  </si>
  <si>
    <t>Dsn. Pule Utara, Rt. 002, Rw. 001, Kel. Pule. Kec. Kandat</t>
  </si>
  <si>
    <t>Selviana</t>
  </si>
  <si>
    <t>SAMARINDA - TOKO SURYA JAYA</t>
  </si>
  <si>
    <t>FAISOL ADHA</t>
  </si>
  <si>
    <t>Hari Kerja: 27 / 26    x    3991797</t>
  </si>
  <si>
    <t>Christiana Dwi Jayanti</t>
  </si>
  <si>
    <t>wulan.rhevian22@gmail.com</t>
  </si>
  <si>
    <t>SEMARANG - A TAKRIB LIFE STYLE</t>
  </si>
  <si>
    <t>6303036208870004</t>
  </si>
  <si>
    <t>Hari Kerja: 27 / 26    x    2827593</t>
  </si>
  <si>
    <t>Jl. Ampera III Ujung, Rt. 038, Rw. 003, Kel. Basirih, Kec. Banjarmasin Barat</t>
  </si>
  <si>
    <t>BANJARMASIN - NUANSA ELEKTRONIK TANJUNG</t>
  </si>
  <si>
    <t>Hari Kerja: 27 / 26    x    3827935</t>
  </si>
  <si>
    <t>Riris Mustika Sari</t>
  </si>
  <si>
    <t>SEMARANG - LARIS KLATEN</t>
  </si>
  <si>
    <t>Hari Kerja: 27 / 26    x    2538691</t>
  </si>
  <si>
    <t>FITRI WULANDARI</t>
  </si>
  <si>
    <t>SAMARINDA - NUANSA ELEKTRONIC TANAH GROGOT</t>
  </si>
  <si>
    <t>buwaqhendrika@gmail.com</t>
  </si>
  <si>
    <t>6472064110950005</t>
  </si>
  <si>
    <t>Hari Kerja: 30 / 26    x    3776998</t>
  </si>
  <si>
    <t>B</t>
  </si>
  <si>
    <t>Vera Winarti</t>
  </si>
  <si>
    <t>Jl. Kh Agus Salim Gg. Tanjung/49, Rt. 036, Rw. 000, Kel. Sungai Pinang Luar, Samarinda Kota</t>
  </si>
  <si>
    <t>SEMARANG - PROGO JOGJA</t>
  </si>
  <si>
    <t>Scheduled</t>
  </si>
  <si>
    <t>Resign - Get New Job</t>
  </si>
  <si>
    <t>Norhidayah.S</t>
  </si>
  <si>
    <t>Hari Kerja: 28 / 26    x    3855894</t>
  </si>
  <si>
    <t>K/2</t>
  </si>
  <si>
    <t>Ainun Jariah</t>
  </si>
  <si>
    <t>HENDRIKA BUWA</t>
  </si>
  <si>
    <t>BANJARMASIN - GOLDEN 10</t>
  </si>
  <si>
    <t>ningrumtia03@gmail.com</t>
  </si>
  <si>
    <t>Imelda Febri Christina</t>
  </si>
  <si>
    <t>3320136308000005</t>
  </si>
  <si>
    <t>SURABAYA - UFO ELEKTRONIK KEDIRI</t>
  </si>
  <si>
    <t>Cerai hidup</t>
  </si>
  <si>
    <t>Jl. Kasan Rejo Rt/Rw.018/000, Kel. Sidorejo, Kec.Arut Selatan Kota.Waringin Barat, Kalimantan Tengah</t>
  </si>
  <si>
    <t>Hari Kerja: 27 / 26    x    2742806</t>
  </si>
  <si>
    <t>SEMARANG - CANDI ELEKTRONIC 310</t>
  </si>
  <si>
    <t>Hari Kerja: 28 / 26    x    2570000</t>
  </si>
  <si>
    <t>SEMARANG - ATLANTA MATARAM</t>
  </si>
  <si>
    <t>AGUS TIANING RUM</t>
  </si>
  <si>
    <t>Puji Astuti</t>
  </si>
  <si>
    <t>jestyananda903@gmail.com</t>
  </si>
  <si>
    <t>SEMARANG - FORTUNA</t>
  </si>
  <si>
    <t>6402064701040005</t>
  </si>
  <si>
    <t>Protestan</t>
  </si>
  <si>
    <t>Hari Kerja: 20 / 26    x    2827593</t>
  </si>
  <si>
    <t>Jl. Gunung Pegat No.13 Rt/Rw.035/000, Kel. Melayu, Kec. Tenggarong, Kab. Kutai Kartanegara, Kalimantan Timur</t>
  </si>
  <si>
    <t>JABO - SPN HOUSEWARE</t>
  </si>
  <si>
    <t>Hari Kerja: 27 / 26    x    5729876</t>
  </si>
  <si>
    <t>JABO - JAWA ELEKTRONIK</t>
  </si>
  <si>
    <t>JESTY ANANDA</t>
  </si>
  <si>
    <t>Iin paramitha utami</t>
  </si>
  <si>
    <t>jln gn pegat,gg 01C,rumah kontrakan</t>
  </si>
  <si>
    <t>Diah Catur Apriani</t>
  </si>
  <si>
    <t>fanda5833@gmail.com</t>
  </si>
  <si>
    <t>SEMARANG - DEPO PELITA</t>
  </si>
  <si>
    <t>1607064512060003</t>
  </si>
  <si>
    <t>Hari Kerja: 27 / 26    x    2474598</t>
  </si>
  <si>
    <t>Juike Antika Rompis</t>
  </si>
  <si>
    <t>Dusun Iv Desa Sungai Pinang Rt/Rw.024/000 Kel. Sungaipinang, Kec. Rambutan, Kab. Banyuasin, Sumatera Selatan.</t>
  </si>
  <si>
    <t>MAKASSAR - ANUGRAH JAYA PALU</t>
  </si>
  <si>
    <t>Hari Kerja: 23 / 26    x    4148179</t>
  </si>
  <si>
    <t>MEDAN - BALIKADO MENTENG</t>
  </si>
  <si>
    <t>FIRANDA</t>
  </si>
  <si>
    <t>Mohammad Nur Fadilah</t>
  </si>
  <si>
    <t>dindasrirahayu9@gmail.com</t>
  </si>
  <si>
    <t>SAMARINDA - SURYA JAYA BALIKPAPAN</t>
  </si>
  <si>
    <t>3204355911990003</t>
  </si>
  <si>
    <t>Hari Kerja: 25 / 26    x    3856694</t>
  </si>
  <si>
    <t>Kp. Pangsor Rt 008, Rw 010. Kel.Sukamantri. Kec.Paseh, Kab. Bandung, Jawa Barat.</t>
  </si>
  <si>
    <t>PALEMBANG - ANUGERAH SUKSES</t>
  </si>
  <si>
    <t>Hari Kerja: 31 / 26    x    3942963</t>
  </si>
  <si>
    <t>JABO - CAHAYA BARU</t>
  </si>
  <si>
    <t>Hari Kerja: 26 / 26    x    5437203</t>
  </si>
  <si>
    <t>DINDA SRI RAHAYU</t>
  </si>
  <si>
    <t>nunung</t>
  </si>
  <si>
    <t>kp. pangsor Rt.08/10</t>
  </si>
  <si>
    <t>PALEMBANG - CV ANEKA JAYA ELEKTRONIK</t>
  </si>
  <si>
    <t>ammygusti@gmail.com</t>
  </si>
  <si>
    <t>6302064111930005</t>
  </si>
  <si>
    <t>SPB/SPG Toko</t>
  </si>
  <si>
    <t>Hari Kerja: 24 / 26    x    4192837</t>
  </si>
  <si>
    <t>Komplek Loyang Indah Rt/Rw.011/00 Kel. Jangkung, Kec. Tanjung, Kab. Tabalong, Kalimantan Selatan.</t>
  </si>
  <si>
    <t>BATAM</t>
  </si>
  <si>
    <t>BATAM - UNIVERSAL PASIR PUTIH</t>
  </si>
  <si>
    <t>Hari Kerja: 27 / 26    x    5357982</t>
  </si>
  <si>
    <t>MAKASSAR - GRAND TOSERBA PENGAYOMAN</t>
  </si>
  <si>
    <t>GUSTI RUSMIAMI</t>
  </si>
  <si>
    <t>Rija Husaini</t>
  </si>
  <si>
    <t>Jl Komp Loyan Indah Rt 11</t>
  </si>
  <si>
    <t>SURABAYA - BARES</t>
  </si>
  <si>
    <t>elasiska01@gmail.com</t>
  </si>
  <si>
    <t>6401044908020005</t>
  </si>
  <si>
    <t>Hari Kerja: 26 / 26    x    2989145</t>
  </si>
  <si>
    <t>Jl. Modang Gg Rukun Rt/Rw.005/002 Kel. Tanah Grogot, Kec. Tanah Grogot, Kab. Paser, Kalimantan Timur.</t>
  </si>
  <si>
    <t>SEMARANG - PASIFIK PEKOJAN</t>
  </si>
  <si>
    <t>Hari Kerja: 24 / 26    x    3701709</t>
  </si>
  <si>
    <t>Munjiyah Agus Cancetta</t>
  </si>
  <si>
    <t>BANJARMASIN - HOKKY OMEGA SAMPIT</t>
  </si>
  <si>
    <t>ELA SISKA ARIATUN</t>
  </si>
  <si>
    <t>Hari Kerja: 28 / 26    x    3756643</t>
  </si>
  <si>
    <t>Merliani Anissa Rachman</t>
  </si>
  <si>
    <t>Program.ainun@gmail.com</t>
  </si>
  <si>
    <t>SAMARINDA - NUANSA BERAU</t>
  </si>
  <si>
    <t>6371014305950008</t>
  </si>
  <si>
    <t>Jl. Kelayan A Gg. Sidodadi. Rt/Rw. 011/001. Kel. Murung Raya. Kec. Banjarmasin Selatan</t>
  </si>
  <si>
    <t>Hari Kerja: 29 / 26    x    4391337</t>
  </si>
  <si>
    <t>SEMARANG - UFO YOGYAKARTA JOKTENG</t>
  </si>
  <si>
    <t>Hari Kerja: 28 / 26    x    2827593</t>
  </si>
  <si>
    <t>SAMARINDA - NUANSA BALIKPAPAN</t>
  </si>
  <si>
    <t>AINUN JARIAH</t>
  </si>
  <si>
    <t>sam</t>
  </si>
  <si>
    <t>Kelayan A gang sidodadi</t>
  </si>
  <si>
    <t>Ayah</t>
  </si>
  <si>
    <t>Hari Kerja: 26 / 26    x    3856694</t>
  </si>
  <si>
    <t>fadhilaarh19@gmail.com</t>
  </si>
  <si>
    <t>3372035909000002</t>
  </si>
  <si>
    <t>SEMARANG - CANDI ELECTRONIC KARTASURA</t>
  </si>
  <si>
    <t>Sangkrah Rt/02 Rw/11. Kel. Sangkrah Kec. Pasar Kliwon</t>
  </si>
  <si>
    <t>Hari Kerja: 27 / 26    x    2500000</t>
  </si>
  <si>
    <t>BANJARMASIN - CENTRAL PLASTIK PALANGKARAYA</t>
  </si>
  <si>
    <t>Hari Kerja: 24 / 26    x    3686138</t>
  </si>
  <si>
    <t>JABO - TOKO AMAC</t>
  </si>
  <si>
    <t>FHADILA RAHMATIKA HAYA</t>
  </si>
  <si>
    <t>Hari Kerja: 27 / 26    x    5399405</t>
  </si>
  <si>
    <t>aprilprily53@gmail.com</t>
  </si>
  <si>
    <t>PT. Mahakarya Sukses Indonesia</t>
  </si>
  <si>
    <t>3322086004920002</t>
  </si>
  <si>
    <t>SEMARANG - ATLANTA MAJAPAHIT</t>
  </si>
  <si>
    <t>Dsn Lendoh. Ds. Bedono Rt/01 Rw/02 Kel. Jambu. Kab. Semarang</t>
  </si>
  <si>
    <t>70/30</t>
  </si>
  <si>
    <t>Hari Kerja: 29 / 26    x    3701709</t>
  </si>
  <si>
    <t>PONTIANAK</t>
  </si>
  <si>
    <t>PONTIANAK - TOKO PUTRA ELEKTRONIK</t>
  </si>
  <si>
    <t>Hari Kerja: 30 / 26    x    3205220</t>
  </si>
  <si>
    <t>APRILIYANI</t>
  </si>
  <si>
    <t>SAMARINDA - NUANSA ELEKTRONIK BONTANG</t>
  </si>
  <si>
    <t>ezaenii@gmail.com</t>
  </si>
  <si>
    <t>3174081507951002</t>
  </si>
  <si>
    <t>Hari Kerja: 27 / 26    x    3799480</t>
  </si>
  <si>
    <t>Elisabeth NoviYanti Ayu N</t>
  </si>
  <si>
    <t>SURABAYA - TOKO JAYA KITCHEN LOMBOK</t>
  </si>
  <si>
    <t>Jl. Warung Jati Timur. Gg. Ainul Yaqin No.41 Rt/Rw. 002/009. Kel Kalibata. Kec. Pancoran</t>
  </si>
  <si>
    <t>Hari Kerja: 23 / 26    x    3019015</t>
  </si>
  <si>
    <t>Intan Kristiani Laoli</t>
  </si>
  <si>
    <t>Resign per 20/9</t>
  </si>
  <si>
    <t>BATAM - JACKSON'S HOMEWARE MARKET</t>
  </si>
  <si>
    <t>FAHRUR REZA</t>
  </si>
  <si>
    <t>Hari Kerja: 26 / 26    x    5357982</t>
  </si>
  <si>
    <t>Aryo Yuwono</t>
  </si>
  <si>
    <t>Jl Guru Muhyin Blok Kancil 1 No 20 (Griya Bombay) Rt14 Rw02, Lenteng Agung Jagakarsa</t>
  </si>
  <si>
    <t>Kerabat Dekat Lainnya</t>
  </si>
  <si>
    <t>BATAM - TOP 100 SWALAYAN</t>
  </si>
  <si>
    <t>yahyaharita2017@gmail.com</t>
  </si>
  <si>
    <t>3603110306910001</t>
  </si>
  <si>
    <t>Hari Kerja: 28 / 26    x    5357982</t>
  </si>
  <si>
    <t>Priya thadgea</t>
  </si>
  <si>
    <t>Bojong Rangkong. Rt/Rw. 014/03. Kel. Pulo Gebang. Kec. Cakung</t>
  </si>
  <si>
    <t>SEMARANG - ADA SWALAYAN SETIABUDI</t>
  </si>
  <si>
    <t>SEMARANG - HERO HOUSEWARE</t>
  </si>
  <si>
    <t>K/1</t>
  </si>
  <si>
    <t>ELY SUPRIANI</t>
  </si>
  <si>
    <t>PONTIANAK - OSCAR GEMILANG</t>
  </si>
  <si>
    <t>wkesuma809@gmail.com</t>
  </si>
  <si>
    <t>1207256005990001</t>
  </si>
  <si>
    <t>Hari Kerja: 29 / 26    x    3561801</t>
  </si>
  <si>
    <t>Jl. Masjid Gg Teratai 23 Pasar X Tembung. Kel. Bandar Khalipah. Kec. Percut Sei Tuan</t>
  </si>
  <si>
    <t>BANDUNG - YOGYA RIAU JUNCTION</t>
  </si>
  <si>
    <t>Hari Kerja: 26 / 26    x    4737678</t>
  </si>
  <si>
    <t>BANDUNG - MUTIARA SUPER KITCHEN</t>
  </si>
  <si>
    <t>WIDYA KUSUMA</t>
  </si>
  <si>
    <t>Linar Aifa</t>
  </si>
  <si>
    <t>Jl Masjid Gg. Teratai 23 Pasar 11 Tembung</t>
  </si>
  <si>
    <t>Syfa Dwi Ayu Cahyani</t>
  </si>
  <si>
    <t>wwid956@gmail.com</t>
  </si>
  <si>
    <t>SURABAYA - BARES ROGOJAMPI</t>
  </si>
  <si>
    <t>1673015709950001</t>
  </si>
  <si>
    <t>Jl. Sejahtera. Rt.01. Kel. Watervang. Kec. Lubuklinggau Timur 1</t>
  </si>
  <si>
    <t>Hari Kerja: 27 / 26    x    2989145</t>
  </si>
  <si>
    <t>SAMARINDA - NUANSA MATOS SAMARINDA</t>
  </si>
  <si>
    <t>Hari Kerja: 29 / 26    x    3983882</t>
  </si>
  <si>
    <t>BANJARMASIN - PONDOK ELEKTRONIK BANJARBARU</t>
  </si>
  <si>
    <t>WIDANA</t>
  </si>
  <si>
    <t>Hari Kerja: 27 / 26    x    3843037</t>
  </si>
  <si>
    <t>sitimaryam140586@gmail.com</t>
  </si>
  <si>
    <t>DM20260002</t>
  </si>
  <si>
    <t>3207035405860001</t>
  </si>
  <si>
    <t>SURABAYA - TOKO RAMAI JAYA JEMBER</t>
  </si>
  <si>
    <t>Bumi Pesanggrahan Indah Blok C6 No 6 Rt/Rw. 05/10 Kel. Cilebut Barat. Kec. Sukaraja</t>
  </si>
  <si>
    <t>Hari Kerja: 27 / 26    x    3012197</t>
  </si>
  <si>
    <t>SURABAYA - CV SAMI JAYA</t>
  </si>
  <si>
    <t>Hari Kerja: 29 / 26    x    2549876</t>
  </si>
  <si>
    <t>Sitti Aisyah Syafitri.H</t>
  </si>
  <si>
    <t>MAKASSAR - ALASKA</t>
  </si>
  <si>
    <t>SITI MARYAM</t>
  </si>
  <si>
    <t>R Abdul Fattah</t>
  </si>
  <si>
    <t>Bumi pesanggrahan indah blok c6 no.6 cilebut barat sukaraja bogor</t>
  </si>
  <si>
    <t>Hari Kerja: 25 / 26    x    4148179</t>
  </si>
  <si>
    <t>herdyy275@gmail.com</t>
  </si>
  <si>
    <t>SEMARANG - SINAR JAYA</t>
  </si>
  <si>
    <t>1606051005040004</t>
  </si>
  <si>
    <t>Dusun 3 Talang Jawa, Desa. Ujan Mas Baru. Kel. Ujan Mas Baru. Kec. Ujan Mas</t>
  </si>
  <si>
    <t>Hari Kerja: 27 / 26    x    2880798</t>
  </si>
  <si>
    <t>Moy Yustiwa Rahayu Putri Kartika</t>
  </si>
  <si>
    <t>SURABAYA - HARTONO BG JUNCTION</t>
  </si>
  <si>
    <t>SURABAYA - HARTONO SIDOARJO</t>
  </si>
  <si>
    <t>HERDY YANSYAH</t>
  </si>
  <si>
    <t>Hari Kerja: 25 / 26    x    5191541</t>
  </si>
  <si>
    <t>windamardiana816@gmail.com</t>
  </si>
  <si>
    <t>1871086101020001</t>
  </si>
  <si>
    <t>SEMARANG - TOKO DEPO MURAH JAYA SENTOSA KUDUS</t>
  </si>
  <si>
    <t>Perum Masyeba Permai Thp 1 Blok F No. 4. Rt/Rw. 001/000 Kel. Patam Lestari. Kec. Sekupang</t>
  </si>
  <si>
    <t>Hari Kerja: 27 / 26    x    2818585</t>
  </si>
  <si>
    <t>SURABAYA - DAPUR KITA MATARAM</t>
  </si>
  <si>
    <t>Hari Kerja: 27 / 26    x    3019015</t>
  </si>
  <si>
    <t>BANDUNG - HARTONO</t>
  </si>
  <si>
    <t>Hari Kerja: 27 / 26    x    4737678</t>
  </si>
  <si>
    <t>WINDA MARDIANA</t>
  </si>
  <si>
    <t>Hasan</t>
  </si>
  <si>
    <t>Jln. Banten Teluk Betung Barat Bandar Lampung</t>
  </si>
  <si>
    <t>SURABAYA - HARTONO KERTAJAYA INDAH</t>
  </si>
  <si>
    <t>salamdarulmito26@gmail.com</t>
  </si>
  <si>
    <t>7322112001940002</t>
  </si>
  <si>
    <t>SURABAYA - HARTONO BUKIT DARMO</t>
  </si>
  <si>
    <t>Jl. Poros Tarobok Baebunta. Rt/Rw. 01/01 Kel. Tarobok Kec. Tamalenrea</t>
  </si>
  <si>
    <t>SPB/SPG Outlet</t>
  </si>
  <si>
    <t>BANDUNG - BLIBLI ELEKTRONIK MOCH TOHA</t>
  </si>
  <si>
    <t>JABO - TOKO ATRIA KELAPA GADING</t>
  </si>
  <si>
    <t>DARUSSALAM</t>
  </si>
  <si>
    <t>elpratangkas@gmail.com</t>
  </si>
  <si>
    <t>BANDUNG - TOKO PANTES AGUNG (ONLINE)</t>
  </si>
  <si>
    <t>3510076712060002</t>
  </si>
  <si>
    <t>Dusun Sidomukti, Desa Yosomulyo Kec. Gambiran</t>
  </si>
  <si>
    <t>Hari Kerja: 29 / 26    x    4737678</t>
  </si>
  <si>
    <t>SURABAYA - HARTONO MALANG</t>
  </si>
  <si>
    <t>Hari Kerja: 24 / 26    x    3736101</t>
  </si>
  <si>
    <t>Promotor Live</t>
  </si>
  <si>
    <t>ELGA PRATANGKAS</t>
  </si>
  <si>
    <t>Desa Yosomulyo, Kec Gambiran, Banyuwangi Jawa Timur</t>
  </si>
  <si>
    <t>JABO - TOKO PALAPA</t>
  </si>
  <si>
    <t>gumilarahmad54@gmail.com</t>
  </si>
  <si>
    <t>3205172707940004</t>
  </si>
  <si>
    <t>Hari Kerja: 22 / 26    x    5729876</t>
  </si>
  <si>
    <t>Jln Raya Ngaliyan Semarang. Kel. Purwoyoso Kec. Ngaliyan</t>
  </si>
  <si>
    <t>BANJARMASIN - GLOBALMART BATULICIN</t>
  </si>
  <si>
    <t>Hari Kerja: 31 / 26    x    3736000</t>
  </si>
  <si>
    <t>SURABAYA - MEDIA ELEKTRONIK DENPASAR</t>
  </si>
  <si>
    <t>AHMAD GUMILAR</t>
  </si>
  <si>
    <t>Fitriyani</t>
  </si>
  <si>
    <t>Hari Kerja: 22 / 26    x    3499878</t>
  </si>
  <si>
    <t>Samarang , Garut</t>
  </si>
  <si>
    <t>galuh8893@gmail.com</t>
  </si>
  <si>
    <t>SURABAYA - UFO KERTAJAYA</t>
  </si>
  <si>
    <t>3471075010860001</t>
  </si>
  <si>
    <t>Katolik</t>
  </si>
  <si>
    <t>Jl Jagalan No 65. Rt/Rw. 01/02 Kel. Purwokinanti, Kec. Pakualaman</t>
  </si>
  <si>
    <t>JABO - HARTONO PONDOK INDAH</t>
  </si>
  <si>
    <t>Khusus</t>
  </si>
  <si>
    <t>Hari Kerja: 26 / 26    x    5729876</t>
  </si>
  <si>
    <t>PONTIANAK - HIBURAN BARU SINGKAWANG</t>
  </si>
  <si>
    <t>AGUSTINA GALUH PRIHANING</t>
  </si>
  <si>
    <t>Hari Kerja: 20 / 26    x    3247387</t>
  </si>
  <si>
    <t>deviisvaradilla16@gmail.com</t>
  </si>
  <si>
    <t>MAKASSAR - SEMERU SARAPPO</t>
  </si>
  <si>
    <t>6471035608010001</t>
  </si>
  <si>
    <t>Jl. Minangkabau No. 101, Rt. 004, Rw. 000, Kel. Batu Ampar, Kec. Balikpapan Utara</t>
  </si>
  <si>
    <t>SEMARANG - SURYA TIMUR</t>
  </si>
  <si>
    <t>Hari Kerja: 29 / 26    x    2397000</t>
  </si>
  <si>
    <t>SEMARANG - ADA SILIWANGI</t>
  </si>
  <si>
    <t>SEMARANG - BERKAH JAYA ELECTRONICS</t>
  </si>
  <si>
    <t>DEVI ISVARADILLA AGRULLY</t>
  </si>
  <si>
    <t>Rusmini Sri rejeki</t>
  </si>
  <si>
    <t>jl aw syahrani rt 31 gg argosari</t>
  </si>
  <si>
    <t>Hari Kerja: 26 / 26    x    2700926</t>
  </si>
  <si>
    <t>revaazzahraaa11@gmail.com</t>
  </si>
  <si>
    <t>3311105403060002</t>
  </si>
  <si>
    <t>BANJARMASIN - NUANSA MARTAPURA</t>
  </si>
  <si>
    <t>Dk Kudu Rt001 Rw 001,Kudu,Baki</t>
  </si>
  <si>
    <t xml:space="preserve">	BANDUNG - MUTIARA SUPER KITCHEN UJUNG BERUNG</t>
  </si>
  <si>
    <t>DM20260003</t>
  </si>
  <si>
    <t>JABO - TOKO EMETAL ASIA JAYA (ONLINE)</t>
  </si>
  <si>
    <t>REVA AZZAHRA</t>
  </si>
  <si>
    <t>Agustia Ningrum</t>
  </si>
  <si>
    <t>khoirunnisayuliana39@gmail.com</t>
  </si>
  <si>
    <t>LAMPUNG</t>
  </si>
  <si>
    <t>LAMPUNG - CV GEMBIRA HOUSEWARE</t>
  </si>
  <si>
    <t>6271034807990001</t>
  </si>
  <si>
    <t>Jl. Danau Rangas Vii No. 32. Rt/Rw 02/07. Kel. Bukit Tunggal . Kec Jekan Raya</t>
  </si>
  <si>
    <t>Hari Kerja: 26 / 26    x    3050498</t>
  </si>
  <si>
    <t>SURABAYA - TOKO RAMAI JAYA RAMBIPUJI</t>
  </si>
  <si>
    <t>Hari Kerja: 23 / 26    x    3012197</t>
  </si>
  <si>
    <t>SEMARANG - PUSAT ELEKTRONIK</t>
  </si>
  <si>
    <t>KHOIRUNNISA YULIANA</t>
  </si>
  <si>
    <t>Ridwan</t>
  </si>
  <si>
    <t>Jl. Danau Rangas VII No. 32</t>
  </si>
  <si>
    <t>Hari Kerja: 27 / 26    x    2485000</t>
  </si>
  <si>
    <t>arimaaaa31@gmail.com</t>
  </si>
  <si>
    <t>3601244107050066</t>
  </si>
  <si>
    <t>SAMARINDA - NUANSA BALIKPAPAN KILO</t>
  </si>
  <si>
    <t>Kp. Kelapa. Rt/Rw 12/02, Rahayu Patia, Kab Pandeglang Banten</t>
  </si>
  <si>
    <t>Hari Kerja: 28 / 26    x    3856694</t>
  </si>
  <si>
    <t>SEMARANG - ATAKRIB BHAYANGKARA</t>
  </si>
  <si>
    <t>Hari Kerja: 28 / 26    x    3454827</t>
  </si>
  <si>
    <t>SITI ARIMAH</t>
  </si>
  <si>
    <t>Hari Kerja: 16 / 26    x    3736101</t>
  </si>
  <si>
    <t>alikaayu41@gmail.com</t>
  </si>
  <si>
    <t>3318026106930002</t>
  </si>
  <si>
    <t>MAKASSAR - SMART KITCHEN</t>
  </si>
  <si>
    <t>Perum Graha Pratama Blok A4. Rt/Rw. 06/05. Kel. Rowosari. Kec. Tembalang</t>
  </si>
  <si>
    <t>Hari Kerja: 14 / 26    x    4148179</t>
  </si>
  <si>
    <t>MAKASSAR - TOKO IWATA</t>
  </si>
  <si>
    <t>Hari Kerja: 13 / 26    x    4148179</t>
  </si>
  <si>
    <t>Fransiskus Xaverius Kuda Koten</t>
  </si>
  <si>
    <t>SAMARINDA - TOKO GYS JAYA</t>
  </si>
  <si>
    <t>SITI MASLIKAH</t>
  </si>
  <si>
    <t>raafi harlanwi sanday purnama</t>
  </si>
  <si>
    <t>perumahan Graha pratama asri blok A.4 RT.06 RW.05 rowosari tembalang</t>
  </si>
  <si>
    <t>Hari Kerja: 12 / 26    x    3856694</t>
  </si>
  <si>
    <t>cs5657394@gmail.com</t>
  </si>
  <si>
    <t>SURABAYA - TOKO MAHKOTA BALI</t>
  </si>
  <si>
    <t>6104170504950007</t>
  </si>
  <si>
    <t>Toko Putra Elektronik, Jl. Tanjung Putra no 5-7( Depan Bank KalBar)</t>
  </si>
  <si>
    <t>Hari Kerja: 1 / 26    x    3499878</t>
  </si>
  <si>
    <t>Hari Kerja: 3 / 26    x    4192837</t>
  </si>
  <si>
    <t>Anis Rizky Amalia</t>
  </si>
  <si>
    <t>CHARLES SETIAWAN</t>
  </si>
  <si>
    <t>Hari Kerja: 5 / 26    x    4148179</t>
  </si>
  <si>
    <t>iyann201203@gmail.com</t>
  </si>
  <si>
    <t>Riska Agustina Iskandar</t>
  </si>
  <si>
    <t>GTM</t>
  </si>
  <si>
    <t>3601192012030004</t>
  </si>
  <si>
    <t>Tidak Tahu</t>
  </si>
  <si>
    <t>Jl. Kiasnawi No.31, RT.003/RW.003, Sukarasa, Kec. Tangerang, Kota Tangerang, Banten 15111</t>
  </si>
  <si>
    <t>Hari Kerja: 5 / 26    x    3843037</t>
  </si>
  <si>
    <t>Sufiyati</t>
  </si>
  <si>
    <t>SURABAYA - UFO BALI</t>
  </si>
  <si>
    <t>Hari Kerja: 6 / 26    x    3499878</t>
  </si>
  <si>
    <t>Fajar Ricaksana</t>
  </si>
  <si>
    <t>1792;1793;1794;1709;1947</t>
  </si>
  <si>
    <t>BANDUNG - TOKO PANTES AGUNG</t>
  </si>
  <si>
    <t>Hari Kerja: 5 / 26    x    4737678</t>
  </si>
  <si>
    <t>MOH NURDIANSAH</t>
  </si>
  <si>
    <t>Hellena Safitri</t>
  </si>
  <si>
    <t>Riyan</t>
  </si>
  <si>
    <t>PALEMBANG - NEW SUWANDI PANGKAL PINANG</t>
  </si>
  <si>
    <t>jl pepaya raya no 79 Cibodas Tangerang</t>
  </si>
  <si>
    <t>afrizal.adinata@gmail.com</t>
  </si>
  <si>
    <t>Hari Kerja: 6 / 26    x    4035000</t>
  </si>
  <si>
    <t>1671112304820001</t>
  </si>
  <si>
    <t>Riski Rahmawati</t>
  </si>
  <si>
    <t>SEMARANG - CANDI ELEKTRONIK SUKOHARJO</t>
  </si>
  <si>
    <t>Jl. Radial Lr. Dahlia No.12/5 Rt/Rw.020/005, Kel. Dua Puluh Empat Ilir, Kec. Bukitkecil, Kota. Palembang, Sumatera Selatan.</t>
  </si>
  <si>
    <t>Hari Kerja: 5 / 26    x    2500000</t>
  </si>
  <si>
    <t>Reno Bayu Sukaca Putra</t>
  </si>
  <si>
    <t>YOGYAKARTA</t>
  </si>
  <si>
    <t>YOGYAKARTA - HARTONO</t>
  </si>
  <si>
    <t>AFRIZAL ADINATA</t>
  </si>
  <si>
    <t>febrivalentino24@gmail.com</t>
  </si>
  <si>
    <t>6474011302040001</t>
  </si>
  <si>
    <t>Hari Kerja: 8 / 26    x    2624387</t>
  </si>
  <si>
    <t>Andriana Dewi</t>
  </si>
  <si>
    <t>Jl. Berlian no. I04</t>
  </si>
  <si>
    <t>Hari Kerja: 2 / 26    x    3856694</t>
  </si>
  <si>
    <t>Livia Sanjana</t>
  </si>
  <si>
    <t>SAMARINDA - TEKAD JAYA</t>
  </si>
  <si>
    <t>Waiting for Registration</t>
  </si>
  <si>
    <t>Hari Kerja: 6 / 26    x    3983882</t>
  </si>
  <si>
    <t>BRI</t>
  </si>
  <si>
    <t>Moh Nurdiansah</t>
  </si>
  <si>
    <t>andi</t>
  </si>
  <si>
    <t>GTM - JABODETABEK</t>
  </si>
  <si>
    <t>jl berlian no i04</t>
  </si>
  <si>
    <t>elisabethayu1997@gmail.com</t>
  </si>
  <si>
    <t>5204215711970002</t>
  </si>
  <si>
    <t>Hari Kerja: 19 / 20 x 5247870</t>
  </si>
  <si>
    <t>Total jam lembur yang disetujui = 7</t>
  </si>
  <si>
    <t>Dusun Meno</t>
  </si>
  <si>
    <t>GTM - PALEMBANG</t>
  </si>
  <si>
    <t>Hari Kerja: 19 / 20 x 4192837</t>
  </si>
  <si>
    <t>GTM - SURABAYA</t>
  </si>
  <si>
    <t>ELISABETH NOVI YANTI AYU N</t>
  </si>
  <si>
    <t>Erika</t>
  </si>
  <si>
    <t>Hari Kerja: 19 / 20 x 5288796</t>
  </si>
  <si>
    <t>Jakarta</t>
  </si>
  <si>
    <t>Total jam lembur yang disetujui = 11</t>
  </si>
  <si>
    <t>afnindanurista@gmail.com</t>
  </si>
  <si>
    <t>GTM - Kota Medan</t>
  </si>
  <si>
    <t>3509195902030004</t>
  </si>
  <si>
    <t>Jl Bengkong Pertiwi F5 No.1 Kel. Tanjung Buntung, Kec. Bengkong, Batam</t>
  </si>
  <si>
    <t>Hari Kerja: 20 / 20 x 5202238</t>
  </si>
  <si>
    <t>GTM - MAKASSAR</t>
  </si>
  <si>
    <t>Hari Kerja: 20 / 20 x 4977815</t>
  </si>
  <si>
    <t>Rezky Maulana</t>
  </si>
  <si>
    <t>GTM - BANJARMASIN</t>
  </si>
  <si>
    <t>DM20260004</t>
  </si>
  <si>
    <t>EMPLOYEE ID</t>
  </si>
  <si>
    <t>Nama Karyawan</t>
  </si>
  <si>
    <t>Posisi Jabatan</t>
  </si>
  <si>
    <t>Hari Kerja: 10 / 20 x 4627073</t>
  </si>
  <si>
    <t>NAMA TOKO</t>
  </si>
  <si>
    <t>Sales B2B - MITO</t>
  </si>
  <si>
    <t>LIST CABANG</t>
  </si>
  <si>
    <t>BANGKA</t>
  </si>
  <si>
    <t>BANGKA - MITO - SALES B2B</t>
  </si>
  <si>
    <t>MANDIRI</t>
  </si>
  <si>
    <t>COST CENTER</t>
  </si>
  <si>
    <t>NURISTA AFNINDA WAQIATUL Q</t>
  </si>
  <si>
    <t>NURISTA LAILI RAFIKA ADINDA</t>
  </si>
  <si>
    <t>jember, jawa timur</t>
  </si>
  <si>
    <t>Hari Kerja: 20 / 20 x 4035000</t>
  </si>
  <si>
    <t>thadhea10@gmail.com</t>
  </si>
  <si>
    <t>3301214106000005</t>
  </si>
  <si>
    <t>MAMASUKA</t>
  </si>
  <si>
    <t>jl pedurungan lor rt05/05</t>
  </si>
  <si>
    <t>SPG/SPB MT</t>
  </si>
  <si>
    <t>MALL KELAPA GADING</t>
  </si>
  <si>
    <t>JAKARTA</t>
  </si>
  <si>
    <t>NUANSA PANGKALANBUN</t>
  </si>
  <si>
    <t>KOTAWARINGIN BARAT</t>
  </si>
  <si>
    <t>UFO YOGYAKARTA JOKTENG</t>
  </si>
  <si>
    <t>DM20260005</t>
  </si>
  <si>
    <t>GOLDEN 10</t>
  </si>
  <si>
    <t>priya thadhea</t>
  </si>
  <si>
    <t>DM20260006</t>
  </si>
  <si>
    <t>umayahmirani85@gmail.com</t>
  </si>
  <si>
    <t>HARAPAN BARU</t>
  </si>
  <si>
    <t>DEPOK</t>
  </si>
  <si>
    <t>3302196003970005</t>
  </si>
  <si>
    <t>DM20260007</t>
  </si>
  <si>
    <t>OSCAR GEMILANG</t>
  </si>
  <si>
    <t>KETAPANG</t>
  </si>
  <si>
    <t>Sokaraja Kulon</t>
  </si>
  <si>
    <t>DM20260008</t>
  </si>
  <si>
    <t>POS ELEKTRONIK</t>
  </si>
  <si>
    <t>DM20260009</t>
  </si>
  <si>
    <t>DM20260010</t>
  </si>
  <si>
    <t>ADA SILIWANGI</t>
  </si>
  <si>
    <t>DM20260011</t>
  </si>
  <si>
    <t>puspitasaridila193@gmail.com</t>
  </si>
  <si>
    <t>National Admin</t>
  </si>
  <si>
    <t>DM20260012</t>
  </si>
  <si>
    <t>3175076001010003</t>
  </si>
  <si>
    <t>CV SAMI JAYA</t>
  </si>
  <si>
    <t>PONOROGO</t>
  </si>
  <si>
    <t>Jl. Betung V no.171</t>
  </si>
  <si>
    <t>DM20260013</t>
  </si>
  <si>
    <t>HARTONO BUKIT DARMO</t>
  </si>
  <si>
    <t>DM20260014</t>
  </si>
  <si>
    <t>PKWT</t>
  </si>
  <si>
    <t>LODPSI2383</t>
  </si>
  <si>
    <t>DM20260015</t>
  </si>
  <si>
    <t>SMART KITCHEN</t>
  </si>
  <si>
    <t>PALU</t>
  </si>
  <si>
    <t>DM20260016</t>
  </si>
  <si>
    <t>TOKO PUTRA ELEKTRONIK</t>
  </si>
  <si>
    <t>Dila Puspita Sari</t>
  </si>
  <si>
    <t>DM20260017</t>
  </si>
  <si>
    <t>A TAKRIB LIFE STYLE</t>
  </si>
  <si>
    <t>uchanel1983@gmail.com</t>
  </si>
  <si>
    <t>3213306811040001</t>
  </si>
  <si>
    <t>DM20260018</t>
  </si>
  <si>
    <t>GRAND TOSERBA PENGAYOMAN</t>
  </si>
  <si>
    <t>ketapang</t>
  </si>
  <si>
    <t>DM20260019</t>
  </si>
  <si>
    <t>HARTONO BANDUNG</t>
  </si>
  <si>
    <t>DM20260020</t>
  </si>
  <si>
    <t>PONDOK ELEKTRONIK BANJARBARU</t>
  </si>
  <si>
    <t>DM20260021</t>
  </si>
  <si>
    <t>NUANSA BALIKPAPAN</t>
  </si>
  <si>
    <t>BALIKPAPAN</t>
  </si>
  <si>
    <t>DM20260022</t>
  </si>
  <si>
    <t>BNI</t>
  </si>
  <si>
    <t>DAPOER MUTIARA (CV PELITA MAS)</t>
  </si>
  <si>
    <t>ANNISA NURAJIJAH</t>
  </si>
  <si>
    <t>DM20260023</t>
  </si>
  <si>
    <t>wahyuhidayat62320@gmail.com</t>
  </si>
  <si>
    <t>DEPO PELITA</t>
  </si>
  <si>
    <t>BANYUMAS</t>
  </si>
  <si>
    <t>3204320604990004</t>
  </si>
  <si>
    <t>DM20260024</t>
  </si>
  <si>
    <t>Dimas Setya Nugraha</t>
  </si>
  <si>
    <t>CANDI ELEKTRONIK</t>
  </si>
  <si>
    <t>SUKOHARJO</t>
  </si>
  <si>
    <t>KP Pasir Pogor No 193 RT004/003 Desa Malakasari</t>
  </si>
  <si>
    <t>DM20260025</t>
  </si>
  <si>
    <t>LOGIN MEGASTORE (ABC)</t>
  </si>
  <si>
    <t>PT. Kita Mitra Indonesia</t>
  </si>
  <si>
    <t>DM20260026</t>
  </si>
  <si>
    <t>NUANSA ELEKTRONIC TANAH GROGOT</t>
  </si>
  <si>
    <t>PASER</t>
  </si>
  <si>
    <t>DM20260027</t>
  </si>
  <si>
    <t>TOENG MARKET JAKSA AGUNG SUPRAPTO</t>
  </si>
  <si>
    <t>Wini Kuswahyuni</t>
  </si>
  <si>
    <t>kp pasir pogor no 193 RT004/003 Desa Malakasari Baleendah</t>
  </si>
  <si>
    <t>DM20260028</t>
  </si>
  <si>
    <t>Elisabeth Noviyanti Ayu N</t>
  </si>
  <si>
    <t>TOKO JAYA KITCHEN LOMBOK</t>
  </si>
  <si>
    <t>fujirestunurani14@gmail.com</t>
  </si>
  <si>
    <t>MATARAM</t>
  </si>
  <si>
    <t>3273025411960001</t>
  </si>
  <si>
    <t>DM20260029</t>
  </si>
  <si>
    <t>HIBURAN BARU SINGKAWANG</t>
  </si>
  <si>
    <t>Jl. Dago Barat no. 06 159/B RT.08 RW.05 Kel. Dago Kec. Coblong</t>
  </si>
  <si>
    <t>DM20260030</t>
  </si>
  <si>
    <t>Fadhila Rahmatika Haya</t>
  </si>
  <si>
    <t>CANDI ELEKTRONIC 310</t>
  </si>
  <si>
    <t>DM20260031</t>
  </si>
  <si>
    <t>SPN HOUSEWARE</t>
  </si>
  <si>
    <t>DM20260032</t>
  </si>
  <si>
    <t>TUNJUNGAN PLAZA</t>
  </si>
  <si>
    <t>DM20260033</t>
  </si>
  <si>
    <t>Iin Ina Marsina</t>
  </si>
  <si>
    <t>SEMERU SARAPPO</t>
  </si>
  <si>
    <t>Jl. Dago Barat No.06 159/B RT. 08 RW. 05 Kel. Dago Kec. Coblong Kota Bandung, Jawa Barat 40135</t>
  </si>
  <si>
    <t>DM20260034</t>
  </si>
  <si>
    <t>syfadwiayu06@gmail.com</t>
  </si>
  <si>
    <t>NUANSA ELEKTRONIK BONTANG</t>
  </si>
  <si>
    <t>BONTANG</t>
  </si>
  <si>
    <t>3510234610060003</t>
  </si>
  <si>
    <t>DM20260035</t>
  </si>
  <si>
    <t>Kota Medan</t>
  </si>
  <si>
    <t>Dsn Krajan 1 RT 08 RW 03 Desa Tegalsari</t>
  </si>
  <si>
    <t>DM20260036</t>
  </si>
  <si>
    <t>NUANSA BALIKPAPAN KILO</t>
  </si>
  <si>
    <t>DM20260037</t>
  </si>
  <si>
    <t>OGAN BANDULAN &amp; OGAN BONDOWOSO</t>
  </si>
  <si>
    <t>MALANG</t>
  </si>
  <si>
    <t>DM20260038</t>
  </si>
  <si>
    <t>MDP SUPERSTORE</t>
  </si>
  <si>
    <t>SYFA DWI AYU CAHYANI</t>
  </si>
  <si>
    <t>DM20260039</t>
  </si>
  <si>
    <t>Ardimas Ahsan Yusuf</t>
  </si>
  <si>
    <t>NUANSA IMAM BONJOL</t>
  </si>
  <si>
    <t>Dsn Krajan 1 RT 08 RW 03 Desa Tegalsari Kecamatan Tegalsari Kab. Banyuwangi</t>
  </si>
  <si>
    <t>DM20260040</t>
  </si>
  <si>
    <t>yanihama2415@gmail.com</t>
  </si>
  <si>
    <t>PONDOK ELEKTRONIK</t>
  </si>
  <si>
    <t>6472046404060002</t>
  </si>
  <si>
    <t>DM20260041</t>
  </si>
  <si>
    <t>TOKO GYS JAYA</t>
  </si>
  <si>
    <t>Jl. Damai GG 4</t>
  </si>
  <si>
    <t>DM20260042</t>
  </si>
  <si>
    <t>MUTIARA SUPER KITCHEN</t>
  </si>
  <si>
    <t>DM20260043</t>
  </si>
  <si>
    <t>HARTONO KERTAJAYA INDAH</t>
  </si>
  <si>
    <t>DM20260044</t>
  </si>
  <si>
    <t>NUANSA ELEKTRONIK TANJUNG</t>
  </si>
  <si>
    <t>TABALONG</t>
  </si>
  <si>
    <t>mawar</t>
  </si>
  <si>
    <t>DM20260045</t>
  </si>
  <si>
    <t>yani</t>
  </si>
  <si>
    <t>WIJAYA ELEKTRONIK</t>
  </si>
  <si>
    <t>jl damai GG syariah</t>
  </si>
  <si>
    <t>DM20260046</t>
  </si>
  <si>
    <t>Vira08359@gmail.com</t>
  </si>
  <si>
    <t>TOKO RAMAI JAYA JEMBER</t>
  </si>
  <si>
    <t>JEMBER</t>
  </si>
  <si>
    <t>6407096709950001</t>
  </si>
  <si>
    <t>DM20260047</t>
  </si>
  <si>
    <t>CV GEMBIRA HOUSEWARE</t>
  </si>
  <si>
    <t>Kompleks hunian idaman asri banjar Blok A No 3 Rt 49 RW 1 sungai besar Banjar baru selatan</t>
  </si>
  <si>
    <t>LAMPUNG-METRO</t>
  </si>
  <si>
    <t>DM20260048</t>
  </si>
  <si>
    <t>CV ANEKA JAYA ELEKTRONIK</t>
  </si>
  <si>
    <t>MUARA ENIM</t>
  </si>
  <si>
    <t>DM20260049</t>
  </si>
  <si>
    <t>ATAKRIB BHAYANGKARA</t>
  </si>
  <si>
    <t>DM20260050</t>
  </si>
  <si>
    <t>Anggarini Norma Agustin</t>
  </si>
  <si>
    <t>STAR KITCHEN</t>
  </si>
  <si>
    <t>Komplek hunian idaman asri Blok A no 3 Rt 49 Rw 1 sungai besar</t>
  </si>
  <si>
    <t>DM20260051</t>
  </si>
  <si>
    <t>joetozeta@gmail.com</t>
  </si>
  <si>
    <t>3508072709850002</t>
  </si>
  <si>
    <t>DM20260052</t>
  </si>
  <si>
    <t>UFO ELEKTRONIK KEDIRI</t>
  </si>
  <si>
    <t>KEDIRI</t>
  </si>
  <si>
    <t>DM20260053</t>
  </si>
  <si>
    <t>Dusun Babatan RT 003 RW 018 Sidomekar Semboro JEMBER</t>
  </si>
  <si>
    <t>DM20260054</t>
  </si>
  <si>
    <t>JACKSON'S HOMEWARE MARKET</t>
  </si>
  <si>
    <t>DM20260055</t>
  </si>
  <si>
    <t>MAXI PERINTIS</t>
  </si>
  <si>
    <t>DM20260056</t>
  </si>
  <si>
    <t>TOKO PANTES AGUNG (ONLINE)</t>
  </si>
  <si>
    <t>DM20260057</t>
  </si>
  <si>
    <t>Hana</t>
  </si>
  <si>
    <t>Dusun Babatan RT 03 RW 18 Sidomekar Semboro Jember</t>
  </si>
  <si>
    <t>Istri</t>
  </si>
  <si>
    <t>DM20260058</t>
  </si>
  <si>
    <t>ayu_mamay@ymail.com</t>
  </si>
  <si>
    <t>Juice Antika Rompis</t>
  </si>
  <si>
    <t>ANUGRAH JAYA PALU</t>
  </si>
  <si>
    <t>3502144911950001</t>
  </si>
  <si>
    <t>DM20260059</t>
  </si>
  <si>
    <t>CENTRAL PLASTIK PALANGKARAYA</t>
  </si>
  <si>
    <t>DUKUH BRINGIN RT02/RW01 DESA KARANGWALUH SAMPUNG PONOROGO</t>
  </si>
  <si>
    <t>DM20260060</t>
  </si>
  <si>
    <t>Lilis Hidayati</t>
  </si>
  <si>
    <t>SINAR GUNTUR GARUT</t>
  </si>
  <si>
    <t>GARUT</t>
  </si>
  <si>
    <t>DM20260061</t>
  </si>
  <si>
    <t>TOKO ATRIA KELAPA GADING</t>
  </si>
  <si>
    <t>DM20260062</t>
  </si>
  <si>
    <t>HARTONO SIDOARJO</t>
  </si>
  <si>
    <t>SIDOARJO</t>
  </si>
  <si>
    <t>DM20260063</t>
  </si>
  <si>
    <t>UFO KERTAJAYA</t>
  </si>
  <si>
    <t>DM20260064</t>
  </si>
  <si>
    <t>General Trade Sales</t>
  </si>
  <si>
    <t>MITO - SALES B2B</t>
  </si>
  <si>
    <t>AYU NOVITANINGSIH</t>
  </si>
  <si>
    <t>SURYATI</t>
  </si>
  <si>
    <t>DUKUH KARANGWALUH RT02/RW01 DESA KARANGWALUH SAMPUNG PONOROGO</t>
  </si>
  <si>
    <t>DM20260065</t>
  </si>
  <si>
    <t>NUANSA MATOS SAMARINDA</t>
  </si>
  <si>
    <t>crewnyek@gmail.com</t>
  </si>
  <si>
    <t>DM20260066</t>
  </si>
  <si>
    <t>1971010403920001</t>
  </si>
  <si>
    <t>NUANSA BERAU</t>
  </si>
  <si>
    <t>DM20260067</t>
  </si>
  <si>
    <t>Jln Satam Dalam RT.09/03 Kel. Semabung Baru</t>
  </si>
  <si>
    <t>IRAMA HOUSEWARE</t>
  </si>
  <si>
    <t>DM20260068</t>
  </si>
  <si>
    <t>Julfiana</t>
  </si>
  <si>
    <t>Jln Satam Dalam RT.09/03 Kel. Semabung Baru Kec. Girimaya Kota Pangkalpinang</t>
  </si>
  <si>
    <t>DM20260069</t>
  </si>
  <si>
    <t>vhyrawati055@gmail.com</t>
  </si>
  <si>
    <t>Toko Senyum 5000 BSD Tangerang</t>
  </si>
  <si>
    <t>7371064512020001</t>
  </si>
  <si>
    <t>DM20260070</t>
  </si>
  <si>
    <t>TOKO DEPO MURAH JAYA SENTOSA KUDUS</t>
  </si>
  <si>
    <t>KUDUS</t>
  </si>
  <si>
    <t>DM20260071</t>
  </si>
  <si>
    <t>jl kandea 3 kip 7 no 28B</t>
  </si>
  <si>
    <t>SURYA JAYA BALIKPAPAN</t>
  </si>
  <si>
    <t>DM20260072</t>
  </si>
  <si>
    <t>HARTONO BG JUNCTION</t>
  </si>
  <si>
    <t>DM20260073</t>
  </si>
  <si>
    <t>ALASKA</t>
  </si>
  <si>
    <t>DM20260074</t>
  </si>
  <si>
    <t>Sitti aisyah syafitri H</t>
  </si>
  <si>
    <t>DM20260075</t>
  </si>
  <si>
    <t>BLIBLI ELEKTRONIK MOCH TOHA</t>
  </si>
  <si>
    <t>DM20260076</t>
  </si>
  <si>
    <t>tinialidrisiyyah@gmail.com</t>
  </si>
  <si>
    <t>HOKKY OMEGA SAMPIT</t>
  </si>
  <si>
    <t>SAMPIT</t>
  </si>
  <si>
    <t>3209195707020009</t>
  </si>
  <si>
    <t>DM20260077</t>
  </si>
  <si>
    <t>STEIN - SPG/SPB MT</t>
  </si>
  <si>
    <t>DM20260078</t>
  </si>
  <si>
    <t>Muti'ah Nur Fadilah</t>
  </si>
  <si>
    <t>Host Live</t>
  </si>
  <si>
    <t>MANGGA DUA SQUARE</t>
  </si>
  <si>
    <t>desa megu ciliki, blok galgadung, kecamatan weru, kabupaten Cirebon</t>
  </si>
  <si>
    <t>DM20260079</t>
  </si>
  <si>
    <t>SH MART ELEKTRONIK</t>
  </si>
  <si>
    <t>DM20260080</t>
  </si>
  <si>
    <t>PERDANA MANYAR</t>
  </si>
  <si>
    <t>DM20260081</t>
  </si>
  <si>
    <t>DAPUR KITA MATARAM</t>
  </si>
  <si>
    <t>DM20260082</t>
  </si>
  <si>
    <t>wartini</t>
  </si>
  <si>
    <t>siti Mariyam</t>
  </si>
  <si>
    <t>DM20260083</t>
  </si>
  <si>
    <t>TOKO EMETAL ASIA JAYA (ONLINE)</t>
  </si>
  <si>
    <t>DM20260084</t>
  </si>
  <si>
    <t>moyyustiwa24@gmail.com</t>
  </si>
  <si>
    <t>TOP 100 SWALAYAN</t>
  </si>
  <si>
    <t>3506146408020002</t>
  </si>
  <si>
    <t>BATU</t>
  </si>
  <si>
    <t>DM20260085</t>
  </si>
  <si>
    <t>Jl. Kedurus Dukuh Gg. III No.62, Kedurus, Kec. Karangpilang, Surabaya, Jawa Timur 60223</t>
  </si>
  <si>
    <t>CV OMEGA SEJAHTERA</t>
  </si>
  <si>
    <t>TULUNGAGUNG</t>
  </si>
  <si>
    <t>DM20260086</t>
  </si>
  <si>
    <t>SUPER MURAH SURABAYA 2</t>
  </si>
  <si>
    <t>DM20260087</t>
  </si>
  <si>
    <t>PIRANTI HOUSEWARE</t>
  </si>
  <si>
    <t>DM20260088</t>
  </si>
  <si>
    <t>HARTONO MALANG</t>
  </si>
  <si>
    <t>DM20260089</t>
  </si>
  <si>
    <t>Priya Thadgea</t>
  </si>
  <si>
    <t>ADA SWALAYAN SETIABUDI</t>
  </si>
  <si>
    <t>DM20260090</t>
  </si>
  <si>
    <t>TK/2</t>
  </si>
  <si>
    <t>FORTUNA</t>
  </si>
  <si>
    <t>MOY YUSTIWA RAHAYU PUTRI KARTIKA</t>
  </si>
  <si>
    <t>Klodya Emdhe</t>
  </si>
  <si>
    <t>DM20260091</t>
  </si>
  <si>
    <t>WIEGO HOUSEWARE TRITURA</t>
  </si>
  <si>
    <t>mamatmarda12@gmail.com</t>
  </si>
  <si>
    <t>3515025009040002</t>
  </si>
  <si>
    <t>DM20260092</t>
  </si>
  <si>
    <t>karangploso rt5 rw4 gelang tulangan</t>
  </si>
  <si>
    <t>TOKO PALAPA</t>
  </si>
  <si>
    <t>DM20260093</t>
  </si>
  <si>
    <t>CANDI ELECTRONIC KARTASURA</t>
  </si>
  <si>
    <t>Abdullah</t>
  </si>
  <si>
    <t>DM20260094</t>
  </si>
  <si>
    <t>bungurasih timur waru</t>
  </si>
  <si>
    <t>mohammadhidayat190@gmail.com</t>
  </si>
  <si>
    <t>A FAUZI</t>
  </si>
  <si>
    <t>3319043008960005</t>
  </si>
  <si>
    <t>kalirejo</t>
  </si>
  <si>
    <t>DM20260095</t>
  </si>
  <si>
    <t>Nor Rohman</t>
  </si>
  <si>
    <t>rahayuneni0611@gmail.com</t>
  </si>
  <si>
    <t>5271034611940002</t>
  </si>
  <si>
    <t>LARIS KLATEN</t>
  </si>
  <si>
    <t>jl beo, gang Anggrek, karang kemong</t>
  </si>
  <si>
    <t>KLATEN</t>
  </si>
  <si>
    <t>E-wallet</t>
  </si>
  <si>
    <t>DANA</t>
  </si>
  <si>
    <t>DANATOPUP NENX RAHXXX</t>
  </si>
  <si>
    <t>DM20260096</t>
  </si>
  <si>
    <t>DM20260097</t>
  </si>
  <si>
    <t>MEDIA ELEKTRONIK DENPASAR</t>
  </si>
  <si>
    <t>Heri setiawan</t>
  </si>
  <si>
    <t>DM20260098</t>
  </si>
  <si>
    <t>jln. Beo Gg. Anggrek Kr. kemong</t>
  </si>
  <si>
    <t>Roby Sugiarti</t>
  </si>
  <si>
    <t>PASIFIK PEKOJAN</t>
  </si>
  <si>
    <t>denilnndsh@gmail.com</t>
  </si>
  <si>
    <t>DM20260099</t>
  </si>
  <si>
    <t>3273250212000005</t>
  </si>
  <si>
    <t>MUTIARA SUPER KITCHEN UJUNG BERUNG</t>
  </si>
  <si>
    <t>Jln Panyandaan Rt 03 Rw 07</t>
  </si>
  <si>
    <t>DM20260100</t>
  </si>
  <si>
    <t>NUANSA MARTAPURA</t>
  </si>
  <si>
    <t>BANJAR BARU</t>
  </si>
  <si>
    <t>DM20260101</t>
  </si>
  <si>
    <t>TOKO AMAC</t>
  </si>
  <si>
    <t>TANGERANG</t>
  </si>
  <si>
    <t>DM20260102</t>
  </si>
  <si>
    <t>CAHAYA BARU</t>
  </si>
  <si>
    <t>BOGOR</t>
  </si>
  <si>
    <t>Wina Widacitra</t>
  </si>
  <si>
    <t>DM20260103</t>
  </si>
  <si>
    <t>Jln Panyandaan Rt 03 Rw 07 Cimenyan kab Bandung</t>
  </si>
  <si>
    <t>DM20260104</t>
  </si>
  <si>
    <t>ristabella274@gmail.com</t>
  </si>
  <si>
    <t>3578106206960001</t>
  </si>
  <si>
    <t>GOLDEN DRAGON ELEKTRONIK</t>
  </si>
  <si>
    <t>DM20260105</t>
  </si>
  <si>
    <t>jalan Lakarsantri RT 1 RW 1</t>
  </si>
  <si>
    <t>Sri Wulan</t>
  </si>
  <si>
    <t>HOKKY HOUSE WARE</t>
  </si>
  <si>
    <t>DM20260106</t>
  </si>
  <si>
    <t>BERKAT ELEKTRONIK</t>
  </si>
  <si>
    <t>DM20260107</t>
  </si>
  <si>
    <t>SEMERU PERINTIS</t>
  </si>
  <si>
    <t>angki pranata</t>
  </si>
  <si>
    <t>DM20260108</t>
  </si>
  <si>
    <t>BARES ROGOJAMPI</t>
  </si>
  <si>
    <t>bagusdwiar@gmail.com</t>
  </si>
  <si>
    <t>BANYUWANGI</t>
  </si>
  <si>
    <t>3578302108970001</t>
  </si>
  <si>
    <t>DM20260109</t>
  </si>
  <si>
    <t>Pondok Benowo Indah BO 14 Surabaya</t>
  </si>
  <si>
    <t>HARTONO PONDOK INDAH</t>
  </si>
  <si>
    <t>DM20260110</t>
  </si>
  <si>
    <t>Umayah Mirani</t>
  </si>
  <si>
    <t>HERO HOUSEWARE PURWOKERTO</t>
  </si>
  <si>
    <t>DM20260111</t>
  </si>
  <si>
    <t>TOKO IWATA</t>
  </si>
  <si>
    <t>BAGUS DWI ARDIANSYAH</t>
  </si>
  <si>
    <t>M Amin Edy Saputra</t>
  </si>
  <si>
    <t>DM20260112</t>
  </si>
  <si>
    <t>PROGO JOGJA</t>
  </si>
  <si>
    <t>muhtar.banez88@gmail.com</t>
  </si>
  <si>
    <t>3217060506930015</t>
  </si>
  <si>
    <t>DM20260113</t>
  </si>
  <si>
    <t>SINAR JAYA</t>
  </si>
  <si>
    <t>CIREBON</t>
  </si>
  <si>
    <t>jl. cipageran no 120</t>
  </si>
  <si>
    <t>DM20260114</t>
  </si>
  <si>
    <t>ANUGERAH SUKSES</t>
  </si>
  <si>
    <t>LUBUKLINGGAU</t>
  </si>
  <si>
    <t>DM20260115</t>
  </si>
  <si>
    <t>BALIKADO MENTENG</t>
  </si>
  <si>
    <t>DM20260116</t>
  </si>
  <si>
    <t>UNIVERSAL PASIR PUTIH</t>
  </si>
  <si>
    <t>MUHTAR</t>
  </si>
  <si>
    <t>Diana Ayu Prawitasari</t>
  </si>
  <si>
    <t>DM20260117</t>
  </si>
  <si>
    <t>jl. cipageran no. 120</t>
  </si>
  <si>
    <t>Wiwit Pujiyanti</t>
  </si>
  <si>
    <t>YOGYA RIAU JUNCTION</t>
  </si>
  <si>
    <t>liyanalita1120@gmail.com</t>
  </si>
  <si>
    <t>DM20260118</t>
  </si>
  <si>
    <t>1403096812010002</t>
  </si>
  <si>
    <t>JAWA ELEKTRONIK</t>
  </si>
  <si>
    <t>DM20260119</t>
  </si>
  <si>
    <t>TIARA PALU</t>
  </si>
  <si>
    <t>Jln Kelapa Cengkir Timur V Blok EF 2 No.5</t>
  </si>
  <si>
    <t>DM20260120</t>
  </si>
  <si>
    <t>BERKAH JAYA ELECTRONICS</t>
  </si>
  <si>
    <t>PEKALONGAN</t>
  </si>
  <si>
    <t>DM20260121</t>
  </si>
  <si>
    <t>DM20260122</t>
  </si>
  <si>
    <t>SURYA TIMUR</t>
  </si>
  <si>
    <t>DM20260123</t>
  </si>
  <si>
    <t>MAXI ALAUDDIN</t>
  </si>
  <si>
    <t>Liya NataLiya</t>
  </si>
  <si>
    <t>Novi</t>
  </si>
  <si>
    <t>Kelapa Gading Jakarta Utara</t>
  </si>
  <si>
    <t>arrafaizma@gmail.com</t>
  </si>
  <si>
    <t>3604055107930006</t>
  </si>
  <si>
    <t>kp baros rt 01 rw 02 ds baros kec arjasari</t>
  </si>
  <si>
    <t>SEABANK</t>
  </si>
  <si>
    <t>o juariah</t>
  </si>
  <si>
    <t>kp baros rt 01 rw 02 ds baros kec arjasari kab bandung</t>
  </si>
  <si>
    <t>prakasarmando51@gmail.com</t>
  </si>
  <si>
    <t>3573011008980005</t>
  </si>
  <si>
    <t>Jl. LA. Sucipto Gg. Stasiun No.16 RT.06 RW.10 Kota Malang, 65125</t>
  </si>
  <si>
    <t>PRAKAS ARMANDO YUWONO</t>
  </si>
  <si>
    <t>mustakimkim522@gmail.com</t>
  </si>
  <si>
    <t>3326070811950002</t>
  </si>
  <si>
    <t>Jl.Arjuna parakan pondok benda Rt/002 Rw/008 kec.Pamulang kab.Tangerang selatan</t>
  </si>
  <si>
    <t>Purwati</t>
  </si>
  <si>
    <t>Jl.Arjuna parakan pondok benda Rt/002 Rw/008 Kec.Pamulang Kab.Tangerang Selatan</t>
  </si>
  <si>
    <t>raikaece4@gmail.com</t>
  </si>
  <si>
    <t>3172037105040004</t>
  </si>
  <si>
    <t>Jl. cikijang 1 no 2 RT 001/RW 011 Koja Jakarta Utara</t>
  </si>
  <si>
    <t>Utamisepticahyani120902@gmail.com</t>
  </si>
  <si>
    <t>6310065209020002</t>
  </si>
  <si>
    <t>Jl Usaha Bersama Rt 05,Desa Gunung Besar</t>
  </si>
  <si>
    <t>Aditya Rizki Anto</t>
  </si>
  <si>
    <t>rizkynandakarunia712@gmail.com</t>
  </si>
  <si>
    <t>3510034712020001</t>
  </si>
  <si>
    <t>Jl Pulau Saelus no 22</t>
  </si>
  <si>
    <t>marniwidiyaningsih@gmail.com</t>
  </si>
  <si>
    <t>3578174503960002</t>
  </si>
  <si>
    <t>jl kedinding lor GG manggis no 26</t>
  </si>
  <si>
    <t>oke</t>
  </si>
  <si>
    <t>K/I/2</t>
  </si>
  <si>
    <t>totok trismanto</t>
  </si>
  <si>
    <t>tendyabas@gmail.com</t>
  </si>
  <si>
    <t>3174042501000009</t>
  </si>
  <si>
    <t>Jl Mampang Prapatan VIII, Gang ABC No 6, Rt.004 Rw.001, Kel. Tegal Parang, Kec. Mampang Prapatan, Jakarta Selatan 12790</t>
  </si>
  <si>
    <t>Afif Ubaidilla</t>
  </si>
  <si>
    <t>Jl Mampang Prapatan VIII, Gang ABC No 6</t>
  </si>
  <si>
    <t>natusvincere230794@gmail.com</t>
  </si>
  <si>
    <t>3578012307940003</t>
  </si>
  <si>
    <t>Kebraon 2 durian no 1 RT 3 RW 2 Karangpilang surabaya</t>
  </si>
  <si>
    <t>M Gedy Kolipatuloh</t>
  </si>
  <si>
    <t>adelaeza021@gmail.com</t>
  </si>
  <si>
    <t>6101074605030005</t>
  </si>
  <si>
    <t>Sungai Naram, Ambassador Residence 3</t>
  </si>
  <si>
    <t>EZA ADELA</t>
  </si>
  <si>
    <t>Fitri</t>
  </si>
  <si>
    <t>Kalimantan Barat, Kab Sambas , Selakau Kuala</t>
  </si>
  <si>
    <t>fatralaily98@gmail.com</t>
  </si>
  <si>
    <t>7371086504980001</t>
  </si>
  <si>
    <t>jalan barukang 5 no 2</t>
  </si>
  <si>
    <t>fatra laily</t>
  </si>
  <si>
    <t>yunita.anggraeni64@gmail.com</t>
  </si>
  <si>
    <t>3323034106950002</t>
  </si>
  <si>
    <t>Sayangan Rt 01 Rw 04, Butuh</t>
  </si>
  <si>
    <t>Novan Yales Saputra</t>
  </si>
  <si>
    <t>Sayangan Rt 01 Rw 04, Butuh Temanggung</t>
  </si>
  <si>
    <t>arentaputriwidyaningsih@gmail.com</t>
  </si>
  <si>
    <t>3374156007040001</t>
  </si>
  <si>
    <t>jl margoyoso IV rt 006/rw 004</t>
  </si>
  <si>
    <t>Arenta Putri Widyaningsih</t>
  </si>
  <si>
    <t>purwanto</t>
  </si>
  <si>
    <t>jalan margoyoso IV</t>
  </si>
  <si>
    <t>yeremiaalexander03@gmail.com</t>
  </si>
  <si>
    <t>3375030306070002</t>
  </si>
  <si>
    <t>Perumahan Taman Seruni Jl Nusa indah No 48 Gamer</t>
  </si>
  <si>
    <t>Edhi Yohanes Hartono</t>
  </si>
  <si>
    <t>Perumahan Taman Seruni Jl Nusa indah no 48 gamer.</t>
  </si>
  <si>
    <t>septianasisi45@gmail.com</t>
  </si>
  <si>
    <t>6112054709980001</t>
  </si>
  <si>
    <t>jl. bhayangkara 2 komp. pesona bhayangkara jalur 2 no.65</t>
  </si>
  <si>
    <t>sisi septiana</t>
  </si>
  <si>
    <t>afrizal</t>
  </si>
  <si>
    <t>landasan ulin</t>
  </si>
  <si>
    <t>sblfdllh@gmail.com</t>
  </si>
  <si>
    <t>3204054903000004</t>
  </si>
  <si>
    <t>SABILA FADILLAH</t>
  </si>
  <si>
    <t>Dicka Hermawan</t>
  </si>
  <si>
    <t>CILENGKRANG II GG. PALASATI V RT 01/07 KEC. COBIRU KEL. PALASARI KOT. BANDUNG</t>
  </si>
  <si>
    <t>nurrahmahhh11@gmail.com</t>
  </si>
  <si>
    <t>3671034307040002</t>
  </si>
  <si>
    <t>kebon besar batu ceper tangerang</t>
  </si>
  <si>
    <t>Abdul Hakim</t>
  </si>
  <si>
    <t>Batu Ceper Tangerang</t>
  </si>
  <si>
    <t>hellenby889@gmail.com</t>
  </si>
  <si>
    <t>1871036605950003</t>
  </si>
  <si>
    <t>banjar sari</t>
  </si>
  <si>
    <t>helen budi yana</t>
  </si>
  <si>
    <t>ferdinandah.19@icloud.com</t>
  </si>
  <si>
    <t>1207191909990004</t>
  </si>
  <si>
    <t>Dusun III Perum Johar II Jl Semangka No 11</t>
  </si>
  <si>
    <t>Nama Kota Penempatan</t>
  </si>
  <si>
    <t>H. Harianja</t>
  </si>
  <si>
    <t>fahrezag548@gmail.com</t>
  </si>
  <si>
    <t>2171116701019003</t>
  </si>
  <si>
    <t>NAMA SESUAI KTP</t>
  </si>
  <si>
    <t>jln gajah mada gg hj syujur no.38 rambipuji</t>
  </si>
  <si>
    <t>Alamat sesuai ktp</t>
  </si>
  <si>
    <t>Tgl Lahir</t>
  </si>
  <si>
    <t>WAHYU SEPTI DWI UTARI</t>
  </si>
  <si>
    <t>Mutiana</t>
  </si>
  <si>
    <t>Column 14</t>
  </si>
  <si>
    <t>jln gajah mada gg hj.syujur no.38</t>
  </si>
  <si>
    <t>ardibasri948@gmail.com</t>
  </si>
  <si>
    <t>7371061009930002</t>
  </si>
  <si>
    <t>TTL</t>
  </si>
  <si>
    <t>Jl. Ir sutami ( villa mutiara asri 7 no 12 )</t>
  </si>
  <si>
    <t>No WA yang bisa di hubungi</t>
  </si>
  <si>
    <t>Alamat Email</t>
  </si>
  <si>
    <t>ftraula@gmail.com</t>
  </si>
  <si>
    <t>3318152910060001</t>
  </si>
  <si>
    <t>Lokasi Toko Penempatan Kerja</t>
  </si>
  <si>
    <t>Dk Rames Rt3/Rw4 Ds Sukoharjo</t>
  </si>
  <si>
    <t>No Rekening Bank BCA</t>
  </si>
  <si>
    <t>Column 1</t>
  </si>
  <si>
    <t>Fathir Aula Niam</t>
  </si>
  <si>
    <t>dani prayoga</t>
  </si>
  <si>
    <t>karangdowo Kutoharjo</t>
  </si>
  <si>
    <t>Cek</t>
  </si>
  <si>
    <t>muallinglim@gmail.com</t>
  </si>
  <si>
    <t>7311021209010002</t>
  </si>
  <si>
    <t>scan pkwt</t>
  </si>
  <si>
    <t>Jl. Sukaria 12</t>
  </si>
  <si>
    <t>cek dg database</t>
  </si>
  <si>
    <t>Fera ferohnika</t>
  </si>
  <si>
    <t>Jl. Polejiwa pesisir</t>
  </si>
  <si>
    <t>ferdiiiaaannn@gmail.com</t>
  </si>
  <si>
    <t>6471041802030002</t>
  </si>
  <si>
    <t>Jl.Di.Panjaitan Rt.04 Kel. Sumber Rejo</t>
  </si>
  <si>
    <t>Jl.keramat gg satu dua rt.10 no.37d kelurahan sungai bilu kecamatan banjarmasin timur banjarmasin 70236</t>
  </si>
  <si>
    <t>Ferdian</t>
  </si>
  <si>
    <t>Rahmawati</t>
  </si>
  <si>
    <t>Jl.Di.Panjaitan Rt.04 Ke. Sumber Rejo</t>
  </si>
  <si>
    <t>heryfriska97@gmail.com</t>
  </si>
  <si>
    <t>3403080209920001</t>
  </si>
  <si>
    <t>Semuluh kidul RT/RW 003/015 ,Ngeposari ,Semanu ,Gunung Kidul</t>
  </si>
  <si>
    <t>balqisayudia123@gmail.com</t>
  </si>
  <si>
    <t>SPG/SPB Stein</t>
  </si>
  <si>
    <t>3515176702040001</t>
  </si>
  <si>
    <t>jl Pulo Tegalsari GG 4 no.2 Wonokromo SBY</t>
  </si>
  <si>
    <t>Banjarmasin</t>
  </si>
  <si>
    <t>findyptr024@gmail.com</t>
  </si>
  <si>
    <t>3578252412020003</t>
  </si>
  <si>
    <t>SLTA</t>
  </si>
  <si>
    <t>FIQRI NUR ARFINDIYANI PUTRI</t>
  </si>
  <si>
    <t>DANI</t>
  </si>
  <si>
    <t>JL Gunung Anyar Kidul 1</t>
  </si>
  <si>
    <t>085754771101</t>
  </si>
  <si>
    <t>awdodotig@gmail.com</t>
  </si>
  <si>
    <t>3211066003980002</t>
  </si>
  <si>
    <t>Annisaauliani11@gmail.com</t>
  </si>
  <si>
    <t>jl sekelimus utara no.5 batununggal bandung kidul</t>
  </si>
  <si>
    <t>Kayutangi banjarmasin</t>
  </si>
  <si>
    <t>0511915910</t>
  </si>
  <si>
    <t>indriyani</t>
  </si>
  <si>
    <t>enok wihaeti</t>
  </si>
  <si>
    <t>sumedang</t>
  </si>
  <si>
    <t>gabriellaromkeny8@gmail.com</t>
  </si>
  <si>
    <t>3578186103010005</t>
  </si>
  <si>
    <t>Wisma Lidah Kulon XB 38</t>
  </si>
  <si>
    <t>chamidaananda@gmail.com</t>
  </si>
  <si>
    <t>7208086609990002</t>
  </si>
  <si>
    <t>done</t>
  </si>
  <si>
    <t>Jl. Banteng 4</t>
  </si>
  <si>
    <t>uunyanuarti2425@gmail.com</t>
  </si>
  <si>
    <t>7306076401040002</t>
  </si>
  <si>
    <t>BTN Griya Ning Citra Lestari Blok A No 5</t>
  </si>
  <si>
    <t>MAYBANK</t>
  </si>
  <si>
    <t>Iin Oktavianingsih</t>
  </si>
  <si>
    <t>BTN Griya Ning Citra Lestrai</t>
  </si>
  <si>
    <t>fxaverius048@gmail.com</t>
  </si>
  <si>
    <t>5306032705960001</t>
  </si>
  <si>
    <t>Jl. BANTIMURUNG NO. 92 RT/RW : 042/000 Kel. GUNUNG BAHAGIA</t>
  </si>
  <si>
    <t>FRANSISKUS XAVERIUS KUDA KOTEN</t>
  </si>
  <si>
    <t>MERRY</t>
  </si>
  <si>
    <t>Balikpapan</t>
  </si>
  <si>
    <t>canyonikamala@gmail.com</t>
  </si>
  <si>
    <t>5108024302080002</t>
  </si>
  <si>
    <t>Padangsambian, Jl. Kebo Iwa Utara</t>
  </si>
  <si>
    <t>LUH YONI KAMALA</t>
  </si>
  <si>
    <t xml:space="preserve">Kp curugaru RT/RW : 001/001 Kel, Kadugembong Kec, kaduhejo kab Pandeglang Banten </t>
  </si>
  <si>
    <t>Denny Candra</t>
  </si>
  <si>
    <t>Jl. Tukad Barito No. 38, Panjer, Denpasar Selatan</t>
  </si>
  <si>
    <t>pramudithadewi62@gmail.com</t>
  </si>
  <si>
    <t>1671146911070003</t>
  </si>
  <si>
    <t>Jl kapten abdulah lr cendrawasih 1</t>
  </si>
  <si>
    <t>DEWI PRAMUDITA</t>
  </si>
  <si>
    <t xml:space="preserve">Pandeglang </t>
  </si>
  <si>
    <t>085774109821</t>
  </si>
  <si>
    <t xml:space="preserve">Jabodetabek </t>
  </si>
  <si>
    <t>DENPASAR</t>
  </si>
  <si>
    <t>Dsn Ngadimulyo RT/RW 002/002, Ds Bulurejo, Kec Purwoharjo, Kab Banyuwangi</t>
  </si>
  <si>
    <t>Banyuwangi</t>
  </si>
  <si>
    <t>S1</t>
  </si>
  <si>
    <t>085231231536</t>
  </si>
  <si>
    <t>Toko Media Elektronik Denpasar</t>
  </si>
  <si>
    <t>YUSTIKA KAIMUDDIN</t>
  </si>
  <si>
    <t>BTN JENEMADINGING BLOK A 2</t>
  </si>
  <si>
    <t xml:space="preserve">Ujung pandang </t>
  </si>
  <si>
    <t>088245137660</t>
  </si>
  <si>
    <t>yustikatika50@gmail.com</t>
  </si>
  <si>
    <t xml:space="preserve">MAXI STORE ALAUDDIN MAKASSAR </t>
  </si>
  <si>
    <t>Ainun jariah</t>
  </si>
  <si>
    <t>Jl. Kelayan A | Gang Sidodadi RT.11 RW.01 No.18</t>
  </si>
  <si>
    <t xml:space="preserve">Banjarmasin </t>
  </si>
  <si>
    <t>0895608199789</t>
  </si>
  <si>
    <t>program.ainun@gmail.com</t>
  </si>
  <si>
    <t xml:space="preserve">Golden 10 Banjarmasin </t>
  </si>
  <si>
    <t>Anggiza Gana pawestri</t>
  </si>
  <si>
    <t>Jl.Buni Malaka Rt06/08 no 15 kel.munjul kec. Cipayung Jakarta Timur</t>
  </si>
  <si>
    <t xml:space="preserve">Jakarta </t>
  </si>
  <si>
    <t>087887345099</t>
  </si>
  <si>
    <t>Anggipawestri04@gmail.com</t>
  </si>
  <si>
    <t>Depok</t>
  </si>
  <si>
    <t>Ayu novitaningsih</t>
  </si>
  <si>
    <t>Dusun bringin RT02 RW01 Desa Karangwaluh kecamatan Sampung Kabupaten Ponorogo</t>
  </si>
  <si>
    <t>Ponorogo</t>
  </si>
  <si>
    <t>082141638390</t>
  </si>
  <si>
    <t>ayumamay09@gmail.com</t>
  </si>
  <si>
    <t>keliru</t>
  </si>
  <si>
    <t>JL.PEMUDA 2 GG.PENDAWA BLOK.E NO.86 RT.012 KEL.TEMINDUNG PERMAI KEC.SUNGAI PINANG</t>
  </si>
  <si>
    <t>8/27/0095</t>
  </si>
  <si>
    <t>082128843818</t>
  </si>
  <si>
    <t xml:space="preserve">NUANSA SUPERSTORE ELECTRONIK SAMARINDA (JL.IMAM BONJOL NO.20 </t>
  </si>
  <si>
    <t>SULAIMAN</t>
  </si>
  <si>
    <t>JATIA, KELURAHAN MATA ALLO, KECAMATAN BAJENG, KABUPATEN GOWA</t>
  </si>
  <si>
    <t>087845027416</t>
  </si>
  <si>
    <t>aimanslipknot123@gmail.com</t>
  </si>
  <si>
    <t>TOKO SEMERU PERINTIS ( MAKASSAR )</t>
  </si>
  <si>
    <t>DSN. GROPYOK, DS. TANON, RT/RW : 002/003, KEC. PAPAR, KAB. KEDIRI</t>
  </si>
  <si>
    <t xml:space="preserve">KEDIRI </t>
  </si>
  <si>
    <t>081335885943</t>
  </si>
  <si>
    <t>HARTONO BGJ</t>
  </si>
  <si>
    <t>SPB/SPG MT</t>
  </si>
  <si>
    <t xml:space="preserve">Bukit Hartaco indah blok 1B </t>
  </si>
  <si>
    <t xml:space="preserve">Soppeng </t>
  </si>
  <si>
    <t>085346312661</t>
  </si>
  <si>
    <t>irmafitr3004@gmail.com</t>
  </si>
  <si>
    <t xml:space="preserve">Maxi perintis </t>
  </si>
  <si>
    <t>0251311616</t>
  </si>
  <si>
    <t>kebon besar rt02 rw 03 kecamatan batu ceper tangerang</t>
  </si>
  <si>
    <t xml:space="preserve">Tangerang </t>
  </si>
  <si>
    <t>087760225284</t>
  </si>
  <si>
    <t>Emetal Asia Jaya</t>
  </si>
  <si>
    <t>Mrutukalianyar 165</t>
  </si>
  <si>
    <t>08132230318</t>
  </si>
  <si>
    <t>nanymariap@gmail.com</t>
  </si>
  <si>
    <t>PT. Stein Perkasa Internasional</t>
  </si>
  <si>
    <t>PERDANA ELEKTRONIK MANYAR</t>
  </si>
  <si>
    <t>PT MII RT/RW 001/005 Kel. Pamesi Kec. Bathin Solapan Kab. Bengkalis Riau</t>
  </si>
  <si>
    <t>Pasaman, Sumatera Barat</t>
  </si>
  <si>
    <t>082385625202</t>
  </si>
  <si>
    <t>Toko Atria Kelapa Gading</t>
  </si>
  <si>
    <t>Kalibata Selatan no 41, RT 002 RW 009 Kelurahan Kalibata Kecamatan Pancoran Jakarta Selatan 12740</t>
  </si>
  <si>
    <t>087851843056</t>
  </si>
  <si>
    <t>SPN Housware (Jakarta Utara) &amp; Sinar Terang (Jakarta Selatan)</t>
  </si>
  <si>
    <t>CHRISTIANA DWI JAYANTI</t>
  </si>
  <si>
    <t>KARANGPUTIH TLOGO PRAMBANAN KLATEN RT 009 RW 006</t>
  </si>
  <si>
    <t>085174367440</t>
  </si>
  <si>
    <t>christianadwijayanti78@gmail.com</t>
  </si>
  <si>
    <t>ATAKRIB ELECTRONICS LIFESTYLE</t>
  </si>
  <si>
    <t>0601290102</t>
  </si>
  <si>
    <t>anisa nurajijah</t>
  </si>
  <si>
    <t>jl.lingkar kota</t>
  </si>
  <si>
    <t>subang, jawa barat</t>
  </si>
  <si>
    <t>089524367514</t>
  </si>
  <si>
    <t xml:space="preserve">ketapang </t>
  </si>
  <si>
    <t>Elisa putra afdiono</t>
  </si>
  <si>
    <t>Margorejo 2G nomer 32</t>
  </si>
  <si>
    <t>Surabaya</t>
  </si>
  <si>
    <t>089686949505</t>
  </si>
  <si>
    <t>Toeng market</t>
  </si>
  <si>
    <t>Dusun Rukem Rt/Rw 001/005 Kelurahan Pamutih desa pamutih, kecamatan ulujami ,kabupaten Pemalang Jawa Tengah</t>
  </si>
  <si>
    <t>jakarta</t>
  </si>
  <si>
    <t>085179986982</t>
  </si>
  <si>
    <t>Jawa Electrik/Elektronik Jl wijaya kusuma no.38 jakarta Timur</t>
  </si>
  <si>
    <t>Dusun Babatan RT 003 RW 018 Sidomekar Semboro Jember</t>
  </si>
  <si>
    <t>Lumajang</t>
  </si>
  <si>
    <t>081235652785</t>
  </si>
  <si>
    <t>Ramai Jaya Jember</t>
  </si>
  <si>
    <t>Bumi pesanggrahan indah Blok C6 no.6 rt/rw 005/010 kel. Cilebut barat kec. Sukaraja kab. Bogor</t>
  </si>
  <si>
    <t>Ciamis</t>
  </si>
  <si>
    <t>085211110630</t>
  </si>
  <si>
    <t>Cahaya baru bogor</t>
  </si>
  <si>
    <t>TENDY ANUGERAH SAPUTRO</t>
  </si>
  <si>
    <t>Jl Jeruk Purut No 15 RT.007 RW.003, Kelurahan Cilandak Timur, Kecamatan Pasar Minggu, Jakarta Selatan, 12560</t>
  </si>
  <si>
    <t>085693115913</t>
  </si>
  <si>
    <t>JAKARTA SELATAN</t>
  </si>
  <si>
    <t xml:space="preserve">Jl. Kaliombo Raya 93 </t>
  </si>
  <si>
    <t>Kediri</t>
  </si>
  <si>
    <t>081217248277</t>
  </si>
  <si>
    <t>imeldamito0612@gmail.com</t>
  </si>
  <si>
    <t>Ufo Elektronik Kediri</t>
  </si>
  <si>
    <t>MUNJIYAH AGUS CANCETTA</t>
  </si>
  <si>
    <t>JL WALTER CONDRAD GG LOMBOK</t>
  </si>
  <si>
    <t>082255195399</t>
  </si>
  <si>
    <t>cancetta4@gmail.com</t>
  </si>
  <si>
    <t>SAMPIT, KOTAWARINGIN TUMUR</t>
  </si>
  <si>
    <t>PALANGKARAYA</t>
  </si>
  <si>
    <t>Palangkaraya</t>
  </si>
  <si>
    <t>083150001212</t>
  </si>
  <si>
    <t>Khoirunnisayuliana39@gmail.com</t>
  </si>
  <si>
    <t>Sentra Palangkaraya</t>
  </si>
  <si>
    <t>DUSUN TERATAI INDAH</t>
  </si>
  <si>
    <t xml:space="preserve">KETAPANG </t>
  </si>
  <si>
    <t>085651034052</t>
  </si>
  <si>
    <t>Toko Putra Elektronik, Pontianak,Kalbar.</t>
  </si>
  <si>
    <t>Desa : TOLAI BARAT, Kecamatan: TORUE</t>
  </si>
  <si>
    <t>TOLAI</t>
  </si>
  <si>
    <t>082193339184</t>
  </si>
  <si>
    <t>sugiartha445566@gmail.com</t>
  </si>
  <si>
    <t>Palu, Jl.Jenderal Basuki Rahmat No.181, Birobuli Utara</t>
  </si>
  <si>
    <t>pake UMK Makassar</t>
  </si>
  <si>
    <t>Makassar</t>
  </si>
  <si>
    <t>089513420390</t>
  </si>
  <si>
    <t xml:space="preserve">Iwata Store </t>
  </si>
  <si>
    <t>Jalan Ploso 1 no 16 a</t>
  </si>
  <si>
    <t>089678564827</t>
  </si>
  <si>
    <t xml:space="preserve">Hartono Kertajaya indah surabaya </t>
  </si>
  <si>
    <t>Siti arimah</t>
  </si>
  <si>
    <t>Kp.kelapa 012/002 Kel.Rahayu, kec.patia, kab.Pandeglang, prov banten</t>
  </si>
  <si>
    <t>085691568762</t>
  </si>
  <si>
    <t>Tangerang</t>
  </si>
  <si>
    <t>Kedung Anyar 5/42</t>
  </si>
  <si>
    <t>0882009923236</t>
  </si>
  <si>
    <t>Goowen36@gmail.com</t>
  </si>
  <si>
    <t>Super Murah Surabaya Kenjeran</t>
  </si>
  <si>
    <t>PONDOK BENOWO INDAH BO 14 SURABAYA</t>
  </si>
  <si>
    <t>081283148912</t>
  </si>
  <si>
    <t>HARTONO BUKIT DARMO BOULEVARD SURABAYA</t>
  </si>
  <si>
    <t>JL. Watulawang V / 29</t>
  </si>
  <si>
    <t>Semarang</t>
  </si>
  <si>
    <t>085712040947</t>
  </si>
  <si>
    <t>paramitharestu65@gmail.com</t>
  </si>
  <si>
    <t>Piranti Housware ( Jl. Lamper Tengah No.19 )</t>
  </si>
  <si>
    <t>Jl MINANGKABAU NO 101 RT 04 BATU AMPAR</t>
  </si>
  <si>
    <t>085656950939</t>
  </si>
  <si>
    <t>Balikpapan , nuansa gunung malang</t>
  </si>
  <si>
    <t>Dusun Danau Kuala Selakau</t>
  </si>
  <si>
    <t>Selakau , Kalimantan barat Kabupaten Sambas</t>
  </si>
  <si>
    <t>085656271235</t>
  </si>
  <si>
    <t>PD HIBURAN BARU KOTA SINGKAWANG</t>
  </si>
  <si>
    <t xml:space="preserve">AFRIZAL ADINATA </t>
  </si>
  <si>
    <t xml:space="preserve">Jl. Radial lrg. Dahlia No 12, RT 20, RW 05, 24 Ilir, Kec. Bukit kecil, Palembang, Sumatera Selatan </t>
  </si>
  <si>
    <t xml:space="preserve">Palembang </t>
  </si>
  <si>
    <t>081271892394</t>
  </si>
  <si>
    <t xml:space="preserve">GTM Palembang </t>
  </si>
  <si>
    <t>0214271334</t>
  </si>
  <si>
    <t>move ke sales</t>
  </si>
  <si>
    <t>MOCHAMAD ABDI AKBAR</t>
  </si>
  <si>
    <t>Jl.Arismunandar 7a/821</t>
  </si>
  <si>
    <t>081252153824</t>
  </si>
  <si>
    <t>abdi.akbarr@gmail.com</t>
  </si>
  <si>
    <t>TOKO OGAN MALANG</t>
  </si>
  <si>
    <t>Dusun 1 Kasimbar Tengah Desa Kasimbar Kecamatan Kasimbar</t>
  </si>
  <si>
    <t>Parigi</t>
  </si>
  <si>
    <t>085298512206</t>
  </si>
  <si>
    <t>Jl. I Gusti Ngurah Rai</t>
  </si>
  <si>
    <t>Jl.margoyoso IV rt 6/4</t>
  </si>
  <si>
    <t xml:space="preserve">Semarang </t>
  </si>
  <si>
    <t>08973123823</t>
  </si>
  <si>
    <t>arentaputriwidyaningsih200704@gmail.com</t>
  </si>
  <si>
    <t xml:space="preserve">Pasar swalayan ADA Siliwangi </t>
  </si>
  <si>
    <t>Jln damai gg 4</t>
  </si>
  <si>
    <t xml:space="preserve">Samarinda </t>
  </si>
  <si>
    <t>085349514526</t>
  </si>
  <si>
    <t xml:space="preserve">Nuasa Matos Samarinda </t>
  </si>
  <si>
    <t>Jl.Pematang pasir gg keluarga, kec tanjung mulia hilir</t>
  </si>
  <si>
    <t>Medan</t>
  </si>
  <si>
    <t>082161115775</t>
  </si>
  <si>
    <t>ayyaputri413@gmail.com</t>
  </si>
  <si>
    <t>Wiego houseware Tritura medan</t>
  </si>
  <si>
    <t xml:space="preserve">JL. BANTIMURUNG NO 92,RT/RW:042/000, KEL/DESA: GUNUNG BAHAGIA, KEC: BALIKPAPAN SELATAN </t>
  </si>
  <si>
    <t>LARANTUKA</t>
  </si>
  <si>
    <t>081239754529</t>
  </si>
  <si>
    <t xml:space="preserve">TOKO GYS JAYA BALIKPAPAN </t>
  </si>
  <si>
    <t>intan kristiani laoli</t>
  </si>
  <si>
    <t>ombolata saloo</t>
  </si>
  <si>
    <t>nias</t>
  </si>
  <si>
    <t>081274956324</t>
  </si>
  <si>
    <t>intankristiani9@gmail.com</t>
  </si>
  <si>
    <t>batam</t>
  </si>
  <si>
    <t>Jl. Dago Barat No. 06 159/B</t>
  </si>
  <si>
    <t>Bandung</t>
  </si>
  <si>
    <t>089507427397</t>
  </si>
  <si>
    <t xml:space="preserve">Mutiara Super Kitchen Soekarno Hatta </t>
  </si>
  <si>
    <t>JL.LINGAR KOTA</t>
  </si>
  <si>
    <t>SUBANG jawa barat</t>
  </si>
  <si>
    <t xml:space="preserve">Jln Panyandaan rt 3 rw 07 Kel mandalamekar Kec Cimenyan Kab Bandung </t>
  </si>
  <si>
    <t>089670444004</t>
  </si>
  <si>
    <t xml:space="preserve">Hartono Bandung </t>
  </si>
  <si>
    <t>Jln. Jamin ginting no. 113</t>
  </si>
  <si>
    <t>Nias</t>
  </si>
  <si>
    <t>081318812178</t>
  </si>
  <si>
    <t>mesrawatilase01@gmail.com</t>
  </si>
  <si>
    <t>Irama Houseware</t>
  </si>
  <si>
    <t>Suci ramadhani</t>
  </si>
  <si>
    <t>Jl masa karya</t>
  </si>
  <si>
    <t>Pekanbaru</t>
  </si>
  <si>
    <t>081276245878</t>
  </si>
  <si>
    <t>ucii.2396@gmail.com</t>
  </si>
  <si>
    <t>Berkat elektronik</t>
  </si>
  <si>
    <t>JUICE ANTIKA ROMPIS</t>
  </si>
  <si>
    <t>DUSUN V KAWANUA</t>
  </si>
  <si>
    <t>Palu</t>
  </si>
  <si>
    <t>082192047661</t>
  </si>
  <si>
    <t>juikerompis48@gmail.com</t>
  </si>
  <si>
    <t>ANUGERAH JAYA PALU</t>
  </si>
  <si>
    <t>ILHAM ANSYAR</t>
  </si>
  <si>
    <t>Jl.padat karya komplek purnama permai 3 no 108 RT 060 RW 001</t>
  </si>
  <si>
    <t xml:space="preserve">BANJARMASIN </t>
  </si>
  <si>
    <t>081253019452</t>
  </si>
  <si>
    <t>ansyarmito2@gmail.com</t>
  </si>
  <si>
    <t xml:space="preserve">Pos elektronik Banjarmasin </t>
  </si>
  <si>
    <t>0511560895</t>
  </si>
  <si>
    <t>Sokaraja kulon RT 02 RW 07</t>
  </si>
  <si>
    <t xml:space="preserve">Banyumas </t>
  </si>
  <si>
    <t>085726532701</t>
  </si>
  <si>
    <t>Hero houseware purwokerto</t>
  </si>
  <si>
    <t>Riris mustika sari</t>
  </si>
  <si>
    <t>Ngaglik RT01/RW 03,Manjung,Ngawen,klaten</t>
  </si>
  <si>
    <t>Klaten</t>
  </si>
  <si>
    <t>085725777296</t>
  </si>
  <si>
    <t>Rirismustika575@gamil.com</t>
  </si>
  <si>
    <t>Laris klaten</t>
  </si>
  <si>
    <t>0301481984</t>
  </si>
  <si>
    <t>Mohammad nur Fadilah</t>
  </si>
  <si>
    <t>Jl giri rejo 1 km 15</t>
  </si>
  <si>
    <t xml:space="preserve">Balikpapan </t>
  </si>
  <si>
    <t>087756414360</t>
  </si>
  <si>
    <t>fnur22037@gmail.com</t>
  </si>
  <si>
    <t xml:space="preserve">SURYA JAYA Balikpapan </t>
  </si>
  <si>
    <t>Vila Mutiara Asri VII No.12</t>
  </si>
  <si>
    <t>085756517715</t>
  </si>
  <si>
    <t>0251548799</t>
  </si>
  <si>
    <t xml:space="preserve">Jl.sejahtera Kel.watervang Lubuklinggau timur 1 kota lubuk linggau </t>
  </si>
  <si>
    <t>Lubuk linggau</t>
  </si>
  <si>
    <t>0895603182217</t>
  </si>
  <si>
    <t>Wwid956@gmail.com</t>
  </si>
  <si>
    <t xml:space="preserve">Jl.HM Soeharto kel.lubuk Kupang </t>
  </si>
  <si>
    <t>Keliru</t>
  </si>
  <si>
    <t xml:space="preserve">Jl. Medan seri gg.sri fajar, padang tikar 2 </t>
  </si>
  <si>
    <t>Padang tikar</t>
  </si>
  <si>
    <t>082190203090</t>
  </si>
  <si>
    <t>Nuansa martapura</t>
  </si>
  <si>
    <t>0292586823</t>
  </si>
  <si>
    <t>JL KOMPLEK LOYANG INDAH BLOK M4 RT11 RW00</t>
  </si>
  <si>
    <t>KOTABARU</t>
  </si>
  <si>
    <t>082253031413</t>
  </si>
  <si>
    <t>Jl Moh Roem</t>
  </si>
  <si>
    <t>Bontang</t>
  </si>
  <si>
    <t>08135054923</t>
  </si>
  <si>
    <t>Pondok Elektronik Banjarbaru</t>
  </si>
  <si>
    <t>Heri suprihatin</t>
  </si>
  <si>
    <t xml:space="preserve">Semuluh kidul RT/RW 003/015 Ngeposari, Semanu, Gunungkidul </t>
  </si>
  <si>
    <t xml:space="preserve">Gunungkidul </t>
  </si>
  <si>
    <t>083122638000</t>
  </si>
  <si>
    <t xml:space="preserve">Atakrib Bayangkara </t>
  </si>
  <si>
    <t>0375170910</t>
  </si>
  <si>
    <t>JLN. MODANG GG.RUKUN</t>
  </si>
  <si>
    <t>MOJOKERTO</t>
  </si>
  <si>
    <t>082358812078</t>
  </si>
  <si>
    <t xml:space="preserve">Jln. R.A Kartini </t>
  </si>
  <si>
    <t>JL. Panglima Sudirman Gang VII No 71B Kepatihan Tulungagung</t>
  </si>
  <si>
    <t>Tulungagung</t>
  </si>
  <si>
    <t>081334979494</t>
  </si>
  <si>
    <t>nwidiyanti70@gmail.com</t>
  </si>
  <si>
    <t>CV. OMEGA SEJAHTERA TULUNGAGUNG</t>
  </si>
  <si>
    <t>0481650436</t>
  </si>
  <si>
    <t>jln ujung pandan no 43B</t>
  </si>
  <si>
    <t>Padang</t>
  </si>
  <si>
    <t>082289261153</t>
  </si>
  <si>
    <t>rindianiherdialova27@gmail.com</t>
  </si>
  <si>
    <t>Toko A Fauzi Padang</t>
  </si>
  <si>
    <t xml:space="preserve">Jln Cihikeu, Desa Cihikeu Rt 01/ Rw 03 Kecamatan Bungbulang kabupaten Garut </t>
  </si>
  <si>
    <t>Garut</t>
  </si>
  <si>
    <t>088985069845</t>
  </si>
  <si>
    <t xml:space="preserve">Toko Wijaya elektronik Semarang </t>
  </si>
  <si>
    <t>kp. pangsor rt.08/10 sukamantri, paseh</t>
  </si>
  <si>
    <t>089659753361</t>
  </si>
  <si>
    <t>LOGIN MEGASTORE ABC</t>
  </si>
  <si>
    <t>Desa megu cilik, blok galgadung, rt 002/rw 003,kecamatan weru, kabupaten cirebon</t>
  </si>
  <si>
    <t>Cirebon</t>
  </si>
  <si>
    <t>081915461459</t>
  </si>
  <si>
    <t>Jl. Berlian, No.i04, Bontang lestari</t>
  </si>
  <si>
    <t>081251882460</t>
  </si>
  <si>
    <t>Nuansa Bontang</t>
  </si>
  <si>
    <t>DUSUN X WIJAYA KESUMA</t>
  </si>
  <si>
    <t>082370385229</t>
  </si>
  <si>
    <t>BALIKADO HOUSEWARE (MENTENG/JOHOR)</t>
  </si>
  <si>
    <t>Jl jagalan no 65</t>
  </si>
  <si>
    <t>Yogyakarta</t>
  </si>
  <si>
    <t>087814045446</t>
  </si>
  <si>
    <t>Ufo Yogya-Jokteng</t>
  </si>
  <si>
    <t>Dsn Dendelu. kel Tarobok. kec baebubta . luwu utara</t>
  </si>
  <si>
    <t>luwu utara</t>
  </si>
  <si>
    <t>089501607968</t>
  </si>
  <si>
    <t>GrenToserba Makassar</t>
  </si>
  <si>
    <t>Dusun III Perum Johar II Jl. Semangka No.11</t>
  </si>
  <si>
    <t>Payakumbuh</t>
  </si>
  <si>
    <t>089512709094</t>
  </si>
  <si>
    <t>ferdinandanthonius1@gmail.com</t>
  </si>
  <si>
    <t>Helen budi yana</t>
  </si>
  <si>
    <t>Banjar sari</t>
  </si>
  <si>
    <t>Bandar lampung</t>
  </si>
  <si>
    <t>082377054696</t>
  </si>
  <si>
    <t>Hellenby889@gmail.com</t>
  </si>
  <si>
    <t>Metro Lampung</t>
  </si>
  <si>
    <t>0231574629</t>
  </si>
  <si>
    <t>Jl. Beo GG. Anggrek Kr. Kemong, cakranegara Barat</t>
  </si>
  <si>
    <t>Mataram</t>
  </si>
  <si>
    <t>087899215955</t>
  </si>
  <si>
    <t>Ruko Granada, No.13-15, Jl. Bung Karno, Cilinaya, Kec. Cakranegara, Kota Mataram, Nusa Tenggara Bar. 83231</t>
  </si>
  <si>
    <t>0562729397</t>
  </si>
  <si>
    <t>Dusun Meno, rt003/rw004  Desa Rhee Loka Kecamatan Rhee Kabupaten Sumbawa</t>
  </si>
  <si>
    <t>Sumbawa</t>
  </si>
  <si>
    <t>087865850309</t>
  </si>
  <si>
    <t>0562190331</t>
  </si>
  <si>
    <t>Fatra laily</t>
  </si>
  <si>
    <t>Jln barukang 6 no 2</t>
  </si>
  <si>
    <t>089684056159</t>
  </si>
  <si>
    <t>Fatralaily98@gmail.com</t>
  </si>
  <si>
    <t>Jln kalimantan</t>
  </si>
  <si>
    <t>Marni dwi widiyaningsih</t>
  </si>
  <si>
    <t>Jl kedinding lor gg manggis no 26</t>
  </si>
  <si>
    <t>089502456598</t>
  </si>
  <si>
    <t>marnidwiw@gmail.com</t>
  </si>
  <si>
    <t>Ufo kertajaya dan ufo wiyung</t>
  </si>
  <si>
    <t>Norhidayah.s</t>
  </si>
  <si>
    <t>km.14 gg mutiara.gambut</t>
  </si>
  <si>
    <t>banjarmasin</t>
  </si>
  <si>
    <t>082154107338</t>
  </si>
  <si>
    <t>udayshar88@gmail.com</t>
  </si>
  <si>
    <t>pondok elektronik</t>
  </si>
  <si>
    <t>FERDIYAN</t>
  </si>
  <si>
    <t>JL D.I PANJAITAN NO 08 RT 4 SUMBER REJO</t>
  </si>
  <si>
    <t>087773201795</t>
  </si>
  <si>
    <t>Ferdiiiaaann@gmail.com</t>
  </si>
  <si>
    <t>Jl soekarno hatta km 4 balikpapan utara</t>
  </si>
  <si>
    <t>Fitri wulandari</t>
  </si>
  <si>
    <t>Jl ampera III ujung rt 038 rw 003</t>
  </si>
  <si>
    <t>Jember</t>
  </si>
  <si>
    <t>085753994944</t>
  </si>
  <si>
    <t>Wulan.rhevian22@gmail.com</t>
  </si>
  <si>
    <t>Pondok Elektronik Banjarmasin</t>
  </si>
  <si>
    <t>Beloro kec sebulu</t>
  </si>
  <si>
    <t>Beloro</t>
  </si>
  <si>
    <t>082151708680</t>
  </si>
  <si>
    <t>selviyahya050@gmail.com</t>
  </si>
  <si>
    <t>Samarinda</t>
  </si>
  <si>
    <t>Karangputih , Tlogo, Prambanan,klaten</t>
  </si>
  <si>
    <t>Sleman</t>
  </si>
  <si>
    <t>089678004600</t>
  </si>
  <si>
    <t>Veavernando2@gmail.com</t>
  </si>
  <si>
    <t>Progo jogja</t>
  </si>
  <si>
    <t>Nada fadhillah shobah</t>
  </si>
  <si>
    <t>Jl. Srikandi Gg. Swadaya IV No. 4</t>
  </si>
  <si>
    <t>081264583373</t>
  </si>
  <si>
    <t>nadafadhillah28052001@gmail.com</t>
  </si>
  <si>
    <t>Jl. Asia No. 348 kec. Medan Area</t>
  </si>
  <si>
    <t>Fiqri Nur Arfindiyani putri</t>
  </si>
  <si>
    <t>Bendo Rt07/Rw02 , Katur, Gayam Bojonegoro</t>
  </si>
  <si>
    <t>085604913433</t>
  </si>
  <si>
    <t>Ogan Bondowoso &amp; Ogan Bandulan</t>
  </si>
  <si>
    <t>ikut UMK Malang</t>
  </si>
  <si>
    <t>BONDOWOSO</t>
  </si>
  <si>
    <t>Jl. cikijang 1 no 2 kec. Koja Kel. koja</t>
  </si>
  <si>
    <t xml:space="preserve">jakarta </t>
  </si>
  <si>
    <t>081385983711</t>
  </si>
  <si>
    <t>Jl. Pluit Karang Manis 6 Blok. O-6 T No. 1F, Pluit, Penjaringan, RT.6/RW.8, Pluit, Kecamatan Penjaringan, Jkt Utara, Daerah Khusus Ibukota Jakarta 14450</t>
  </si>
  <si>
    <t>0930183628</t>
  </si>
  <si>
    <t>jp.usaha GG.usaha no.08</t>
  </si>
  <si>
    <t xml:space="preserve">Pekanbaru </t>
  </si>
  <si>
    <t>082170183096</t>
  </si>
  <si>
    <t>sri692636@gmail.com</t>
  </si>
  <si>
    <t xml:space="preserve">golden dragon electronik Pekanbaru </t>
  </si>
  <si>
    <t>0343010483</t>
  </si>
  <si>
    <t>Polejiwa</t>
  </si>
  <si>
    <t>Barru</t>
  </si>
  <si>
    <t>087890300301</t>
  </si>
  <si>
    <t>Muallinglim@gmail.com</t>
  </si>
  <si>
    <t>Alaska</t>
  </si>
  <si>
    <t>Pedurungan lor</t>
  </si>
  <si>
    <t>Cilacap</t>
  </si>
  <si>
    <t>0895381170790</t>
  </si>
  <si>
    <t>Thadhea10@gmail.com</t>
  </si>
  <si>
    <t>Ada setiabudi</t>
  </si>
  <si>
    <t>BERAU</t>
  </si>
  <si>
    <t>Jln.Milono Gg.Husada</t>
  </si>
  <si>
    <t>Berau</t>
  </si>
  <si>
    <t>082353675726</t>
  </si>
  <si>
    <t>merlianianissa1224@gmail.com</t>
  </si>
  <si>
    <t>PALEMBANG, PLAJU</t>
  </si>
  <si>
    <t>Palembang</t>
  </si>
  <si>
    <t>0895320866466</t>
  </si>
  <si>
    <t>Resign per 25/9</t>
  </si>
  <si>
    <t xml:space="preserve">Dapur Mutiara </t>
  </si>
  <si>
    <t>?</t>
  </si>
  <si>
    <t>Simpang rt08 rw02</t>
  </si>
  <si>
    <t>Sidoarjo</t>
  </si>
  <si>
    <t>087845284320</t>
  </si>
  <si>
    <t>Hartono sidoarjo</t>
  </si>
  <si>
    <t>0883073760</t>
  </si>
  <si>
    <t>Botokenceng Rt. 01, Wirokerten, Banguntapan, Bantul, Yogyakarta</t>
  </si>
  <si>
    <t>08985234603</t>
  </si>
  <si>
    <t>puji27631@gmail.com</t>
  </si>
  <si>
    <t>Toko Fortuna Jogja</t>
  </si>
  <si>
    <t>Kp. Cikandang Rt 003 Rw 008 desa. Cimareme Kec. Ngamprah</t>
  </si>
  <si>
    <t>08886200919</t>
  </si>
  <si>
    <t>Blibli Elektronik</t>
  </si>
  <si>
    <t>DSN KRAJAN 1</t>
  </si>
  <si>
    <t>087731284107</t>
  </si>
  <si>
    <t>Bares Genteng</t>
  </si>
  <si>
    <t>Sayangan RT 01 RW 04, Butuh, Temanggung</t>
  </si>
  <si>
    <t>Temanggung</t>
  </si>
  <si>
    <t>085647144195</t>
  </si>
  <si>
    <t>Surya Timur</t>
  </si>
  <si>
    <t>firanda</t>
  </si>
  <si>
    <t>DUSUN IV DESA SUNGAI PINANG</t>
  </si>
  <si>
    <t>banyuasin</t>
  </si>
  <si>
    <t>083872915839</t>
  </si>
  <si>
    <t xml:space="preserve">mdp it superstore </t>
  </si>
  <si>
    <t>Perumahan Taman Seruni Jl Nusa Indah No 48 ,Gamer</t>
  </si>
  <si>
    <t xml:space="preserve">Pekalongan </t>
  </si>
  <si>
    <t>081910263671</t>
  </si>
  <si>
    <t xml:space="preserve">Jl Angkatan 45 no 54 Pekalongan </t>
  </si>
  <si>
    <t>double cek</t>
  </si>
  <si>
    <t>Ds.UJAN MAS BARU Kec.UJAN MAS Kab.MUARA ENIM</t>
  </si>
  <si>
    <t>Ds.TANJUNG RAYA Kab.MUSI BANYUASIN</t>
  </si>
  <si>
    <t>082269859451</t>
  </si>
  <si>
    <t>Kota muaraenim</t>
  </si>
  <si>
    <t xml:space="preserve">JL.KASAN REJO 2 </t>
  </si>
  <si>
    <t>JEPARA</t>
  </si>
  <si>
    <t>0811522178</t>
  </si>
  <si>
    <t xml:space="preserve">NUANSA ELEKTRONIK PANGKALANBUN </t>
  </si>
  <si>
    <t>Sangkrah RT 2 RW 11 kelurahan Sangkrah kecamatan pasar Kliwon Surakarta Jawa tengah</t>
  </si>
  <si>
    <t xml:space="preserve">Surakarta </t>
  </si>
  <si>
    <t>085725663034</t>
  </si>
  <si>
    <t>Candi Elektronik 310</t>
  </si>
  <si>
    <t>DIAH CATUR APRIANI</t>
  </si>
  <si>
    <t>Grecol, rt1 rw3 Kalimanah Kab purbalingga</t>
  </si>
  <si>
    <t>Banyumas</t>
  </si>
  <si>
    <t>081568400117</t>
  </si>
  <si>
    <t>caturdiah95@gmail.com</t>
  </si>
  <si>
    <t>DEPO PELITA SOKARAJA</t>
  </si>
  <si>
    <t>JL CILENGKRNG II PALASARI V RT 001/007 PALASARI, CIBIRU</t>
  </si>
  <si>
    <t>085624685906</t>
  </si>
  <si>
    <t>MUTIARA SUPER KITCHEN UJUNGBERUNG</t>
  </si>
  <si>
    <t>JL. LA. Sucipto GG. Stasiun No.16 RT.06 RW.10 Purwodadi Malang</t>
  </si>
  <si>
    <t>Malamg</t>
  </si>
  <si>
    <t>089669375797</t>
  </si>
  <si>
    <t>Hartono Malang</t>
  </si>
  <si>
    <t>Jl. Banten GG. Hidayah IV No 46</t>
  </si>
  <si>
    <t xml:space="preserve">Bandar Lampung </t>
  </si>
  <si>
    <t>089615384948</t>
  </si>
  <si>
    <t>Ruko Mega Legenda Batam Center</t>
  </si>
  <si>
    <t>Yeni angraini</t>
  </si>
  <si>
    <t>Jln air terjun</t>
  </si>
  <si>
    <t>Donggala</t>
  </si>
  <si>
    <t>081244995896</t>
  </si>
  <si>
    <t>Yheniigladiezz86@gmail.com</t>
  </si>
  <si>
    <t>HOKKY houseware</t>
  </si>
  <si>
    <t>Jl  Ahmad Yani IV/109 Lingk. Tembaan</t>
  </si>
  <si>
    <t>089628450401</t>
  </si>
  <si>
    <t>TOP 100 SWALAYAN BATAM</t>
  </si>
  <si>
    <t>0123456789</t>
  </si>
  <si>
    <t>YULIANA SISWANTI</t>
  </si>
  <si>
    <t>JL. REJOSARI 002/003 (GANG MANGGA NO.4)</t>
  </si>
  <si>
    <t>0882010083362</t>
  </si>
  <si>
    <t>ysiswanti03@gmail.com</t>
  </si>
  <si>
    <t xml:space="preserve">OUTLET MITO TUNJUNGAN PLAZA </t>
  </si>
  <si>
    <t>DSN. PULE UTARA RT:002/RW:001 PULE, KANDAT</t>
  </si>
  <si>
    <t>085748348360</t>
  </si>
  <si>
    <t>faisol.adha03@gmail.com</t>
  </si>
  <si>
    <t>OUTLET MITO TUNJUNGAN PLAZA</t>
  </si>
  <si>
    <t>MUHAMMAD HAFRIZAL</t>
  </si>
  <si>
    <t>SIDOTOPO JAYA 2/2</t>
  </si>
  <si>
    <t>081235805598</t>
  </si>
  <si>
    <t>hafrizalmuhammad@gmail.com</t>
  </si>
  <si>
    <t>Outlet TUNJUNGAN PLAZA SURABAYA</t>
  </si>
  <si>
    <t xml:space="preserve">Jl.Gunung Sahari 9 RT.005 RW.004 Kel.Gunung Sahari Utara, kec.Sawah besar, Jakarta pusat </t>
  </si>
  <si>
    <t>085780008440</t>
  </si>
  <si>
    <t xml:space="preserve">Sumarecon Mall Kelapa Gading Jakarta </t>
  </si>
  <si>
    <t xml:space="preserve">Dusun Tamansari RT 012 / RW 004 ,kel. Kertahayu kec. Pamarican </t>
  </si>
  <si>
    <t>CIAMIS</t>
  </si>
  <si>
    <t>085849233099</t>
  </si>
  <si>
    <t>Adelinemeidian@gmail.com</t>
  </si>
  <si>
    <t>Summarecon Mall Kelapa Gading</t>
  </si>
  <si>
    <t>Joko supriatna</t>
  </si>
  <si>
    <t>Kp. Bojong Nangka No 32 Rt 001/008 Jati Rahayu, Pondok Melati, Bekasi</t>
  </si>
  <si>
    <t>Lebak Banten</t>
  </si>
  <si>
    <t>08567643486</t>
  </si>
  <si>
    <t>Jksupriatna92@gmail.com</t>
  </si>
  <si>
    <t>Summarecon mall kelapa gading jakarta</t>
  </si>
  <si>
    <t>Muhammad gedy kolipatuloh</t>
  </si>
  <si>
    <t>Kebraon 2 durian no. 1 rt 03/rw 02 kelurahan kebraon kecamatan karang pilang</t>
  </si>
  <si>
    <t>085959534528</t>
  </si>
  <si>
    <t>Depo mito cabang surabaya</t>
  </si>
  <si>
    <t>GTM, mau resign, rolling</t>
  </si>
  <si>
    <t>move ke helpper gudang sby</t>
  </si>
  <si>
    <t>ISMA KURNIAWATI</t>
  </si>
  <si>
    <t>KP BAROS RT 01 RW 02 DS BAROS KEC ARJASARI KAB BANDUNG</t>
  </si>
  <si>
    <t>088222510571</t>
  </si>
  <si>
    <t>JL A.H NASUTION NO 138 UJUNG BERUNG BANDUNG</t>
  </si>
  <si>
    <t>Kalirejo RT.003/ RW.004</t>
  </si>
  <si>
    <t>Kudus</t>
  </si>
  <si>
    <t>Toko barongan kudus dan jember kudus</t>
  </si>
  <si>
    <t>pandak rt 04 rw 02 jatipandak sambeng</t>
  </si>
  <si>
    <t>sidoarjo</t>
  </si>
  <si>
    <t>089514649794</t>
  </si>
  <si>
    <t>Hartono Bukit Darmo</t>
  </si>
  <si>
    <t>Jl.lapang tanuwijaya situraja sumedang</t>
  </si>
  <si>
    <t>Sumedang</t>
  </si>
  <si>
    <t>082218621312</t>
  </si>
  <si>
    <t>Awdodotig@gmail.com</t>
  </si>
  <si>
    <t>Hartono bandung</t>
  </si>
  <si>
    <t xml:space="preserve">Cilongok Rt008/002 Desa Cilongok </t>
  </si>
  <si>
    <t>085846957871</t>
  </si>
  <si>
    <t>wiwitpuja11@gmail.com</t>
  </si>
  <si>
    <t>Yogya Riau Junction</t>
  </si>
  <si>
    <t>Jln Satam Dalam RT.009/003 Kel.Semabung Baru Kec. Girimaya Kota Pangkalpinang</t>
  </si>
  <si>
    <t xml:space="preserve">Pangkalpinang </t>
  </si>
  <si>
    <t>081995357575</t>
  </si>
  <si>
    <t>Bangka</t>
  </si>
  <si>
    <t>Jl kandea 3 KIP 7 no 28B</t>
  </si>
  <si>
    <t xml:space="preserve">MAKASSAR </t>
  </si>
  <si>
    <t>085824786974</t>
  </si>
  <si>
    <t xml:space="preserve">PT.ALASKA MANDIRI CEMERLANG </t>
  </si>
  <si>
    <t xml:space="preserve">Jln. Jelawat </t>
  </si>
  <si>
    <t>088705334961</t>
  </si>
  <si>
    <t>bypisbel7@gmail.com</t>
  </si>
  <si>
    <t>jln. p antasari samarinda (toko Mamasuka)</t>
  </si>
  <si>
    <t xml:space="preserve">Desa pandere </t>
  </si>
  <si>
    <t xml:space="preserve">Sulawesi Tengah </t>
  </si>
  <si>
    <t>082350401093</t>
  </si>
  <si>
    <t>wulannalinisalim@gmail.com</t>
  </si>
  <si>
    <t xml:space="preserve">Tiara Electronic </t>
  </si>
  <si>
    <t>Done</t>
  </si>
  <si>
    <t>Dusun Ngabeyan,  Desa Nguwet, RT/Rw 002/002 Kecamatan Kranggan, Kabupaten Temanggung</t>
  </si>
  <si>
    <t>085713753192</t>
  </si>
  <si>
    <t>setyadimas021@gmail.com</t>
  </si>
  <si>
    <t>Candi elektronik Sukoharjo</t>
  </si>
  <si>
    <t>lilis hidayati</t>
  </si>
  <si>
    <t>kp. cisabuk</t>
  </si>
  <si>
    <t>garut</t>
  </si>
  <si>
    <t>095172233040</t>
  </si>
  <si>
    <t>lilishidayati8@gmail.com</t>
  </si>
  <si>
    <t>Sinar Guntur Garut</t>
  </si>
  <si>
    <t>Wisma Lidah Kulon XB-38</t>
  </si>
  <si>
    <t>088217641516</t>
  </si>
  <si>
    <t>gabriellaromkeny8@gmail.con</t>
  </si>
  <si>
    <t>Hartono KTI</t>
  </si>
  <si>
    <t>Reva azzahra</t>
  </si>
  <si>
    <t>kudu rt01/01 kudu baki sukoharjo</t>
  </si>
  <si>
    <t>sukoharjo</t>
  </si>
  <si>
    <t>088227753485</t>
  </si>
  <si>
    <t>candi elektronic kartasura</t>
  </si>
  <si>
    <t>ROBY SUGIARTI</t>
  </si>
  <si>
    <t>Jl.Plumbon RT06 RW03 WONOSARI NGALIYAN SEMARANG</t>
  </si>
  <si>
    <t>0895359984060</t>
  </si>
  <si>
    <t>robysugiarti21@gmail.com</t>
  </si>
  <si>
    <t xml:space="preserve">Pasifik Pekojan Semarang </t>
  </si>
  <si>
    <t>0092461121</t>
  </si>
  <si>
    <t>Jln. Ancol Selatan rt05 rw03 no28 Kel.Sunter Agung Kec.Tanjung Priok Jakarta Utara 14350</t>
  </si>
  <si>
    <t>0882006362336</t>
  </si>
  <si>
    <t>Mutiahnurf09@gmail.com</t>
  </si>
  <si>
    <t>Mito Mangga Dua Square</t>
  </si>
  <si>
    <t>THORIQUL MUJAHIDIEN</t>
  </si>
  <si>
    <t>Dusun Krajan Desa Gendoh Kecamatan Sempu Kabupaten Banyuwangi</t>
  </si>
  <si>
    <t>085233984996</t>
  </si>
  <si>
    <t>thoriqthoriq65@gmail.com</t>
  </si>
  <si>
    <t>Bares</t>
  </si>
  <si>
    <t xml:space="preserve">ANGGA REFALAH HIDAYAT </t>
  </si>
  <si>
    <t>Jl. Cempedak 1B No.9</t>
  </si>
  <si>
    <t xml:space="preserve">JEMBER </t>
  </si>
  <si>
    <t>085649209633</t>
  </si>
  <si>
    <t>anggarefalahhidayat@gmail.com</t>
  </si>
  <si>
    <t>TOKO RAMAI JAYA</t>
  </si>
  <si>
    <t>KENDARI</t>
  </si>
  <si>
    <t xml:space="preserve">WULAN APRIYANTI </t>
  </si>
  <si>
    <t>Desa Liangkobori</t>
  </si>
  <si>
    <t xml:space="preserve">Kota Raha </t>
  </si>
  <si>
    <t>081311215780</t>
  </si>
  <si>
    <t>apriyantiburansa@gmail.com</t>
  </si>
  <si>
    <t>MAXCELL Depo Teknik &amp; Bangunan Baypass Kendari</t>
  </si>
  <si>
    <t>SHINTA AMALIA</t>
  </si>
  <si>
    <t>KOMP. GRIYA ULIN PERMAI JL. PINGUIN BLOK EE NO. 05</t>
  </si>
  <si>
    <t>087771892636</t>
  </si>
  <si>
    <t>shintaamalalia12@gmail.com</t>
  </si>
  <si>
    <t>BANJARBARU</t>
  </si>
  <si>
    <t>NOR LAILA</t>
  </si>
  <si>
    <t>JL STADION, RT 04, PEMBATAAN, TABALONG</t>
  </si>
  <si>
    <t>MURUNG PUDAK</t>
  </si>
  <si>
    <t>085654917338</t>
  </si>
  <si>
    <t>ayla151012@gmail.com</t>
  </si>
  <si>
    <t>Sales Area</t>
  </si>
  <si>
    <t>3,806,600</t>
  </si>
  <si>
    <t>1,631,400</t>
  </si>
  <si>
    <t>-</t>
  </si>
  <si>
    <t xml:space="preserve">SURYA JAYA </t>
  </si>
  <si>
    <t>DM20260124</t>
  </si>
  <si>
    <t>join per 25/9</t>
  </si>
  <si>
    <t>DM20260125</t>
  </si>
  <si>
    <t>DM20260126</t>
  </si>
  <si>
    <t>DM20260127</t>
  </si>
  <si>
    <t>DM20260128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</si>
</sst>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Rp&quot;#,##0"/>
    <numFmt numFmtId="166" formatCode="d&quot; &quot;mmm&quot; &quot;yyyy"/>
  </numFmts>
  <fonts count="11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2" fontId="5" numFmtId="165" xfId="0" applyAlignment="1" applyFill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Font="1"/>
    <xf borderId="0" fillId="0" fontId="6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shrinkToFit="0" vertical="center" wrapText="1"/>
    </xf>
    <xf borderId="1" fillId="0" fontId="5" numFmtId="14" xfId="0" applyAlignment="1" applyBorder="1" applyFont="1" applyNumberForma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right" shrinkToFit="0" vertical="center" wrapText="0"/>
    </xf>
    <xf borderId="1" fillId="0" fontId="5" numFmtId="166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3" xfId="0" applyAlignment="1" applyBorder="1" applyFont="1" applyNumberFormat="1">
      <alignment readingOrder="0" shrinkToFit="0" vertical="center" wrapText="0"/>
    </xf>
    <xf borderId="1" fillId="2" fontId="5" numFmtId="3" xfId="0" applyAlignment="1" applyBorder="1" applyFill="1" applyFont="1" applyNumberFormat="1">
      <alignment readingOrder="0" shrinkToFit="0" vertical="center" wrapText="0"/>
    </xf>
    <xf borderId="1" fillId="3" fontId="5" numFmtId="3" xfId="0" applyAlignment="1" applyBorder="1" applyFill="1" applyFont="1" applyNumberFormat="1">
      <alignment readingOrder="0" shrinkToFit="0" vertical="center" wrapText="0"/>
    </xf>
    <xf borderId="0" fillId="4" fontId="7" numFmtId="3" xfId="0" applyAlignment="1" applyFill="1" applyFont="1" applyNumberFormat="1">
      <alignment shrinkToFit="0" vertical="center" wrapText="0"/>
    </xf>
    <xf borderId="1" fillId="0" fontId="5" numFmtId="166" xfId="0" applyAlignment="1" applyBorder="1" applyFont="1" applyNumberFormat="1">
      <alignment shrinkToFit="0" vertical="center" wrapText="0"/>
    </xf>
    <xf borderId="1" fillId="3" fontId="5" numFmtId="3" xfId="0" applyAlignment="1" applyBorder="1" applyFill="1" applyFont="1" applyNumberFormat="1">
      <alignment shrinkToFit="0" vertical="center" wrapText="0"/>
    </xf>
    <xf borderId="0" fillId="2" fontId="8" numFmtId="0" xfId="0" applyAlignment="1" applyFill="1" applyFont="1">
      <alignment horizontal="center" readingOrder="0"/>
    </xf>
    <xf borderId="0" fillId="2" fontId="8" numFmtId="0" xfId="0" applyAlignment="1" applyFill="1" applyFont="1">
      <alignment horizontal="left" readingOrder="0"/>
    </xf>
    <xf borderId="0" fillId="2" fontId="8" numFmtId="0" xfId="0" applyAlignment="1" applyFill="1" applyFont="1">
      <alignment horizontal="center"/>
    </xf>
    <xf borderId="0" fillId="2" fontId="5" numFmtId="0" xfId="0" applyFill="1" applyFont="1"/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right" readingOrder="0" shrinkToFit="0" vertical="center" wrapText="0"/>
    </xf>
    <xf borderId="0" fillId="0" fontId="9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2" fillId="5" fontId="10" numFmtId="0" xfId="0" applyAlignment="1" applyBorder="1" applyFill="1" applyFont="1">
      <alignment shrinkToFit="0" vertical="center" wrapText="0"/>
    </xf>
    <xf borderId="2" fillId="5" fontId="10" numFmtId="14" xfId="0" applyAlignment="1" applyBorder="1" applyFill="1" applyFont="1" applyNumberFormat="1">
      <alignment horizontal="right" shrinkToFit="0" vertical="center" wrapText="0"/>
    </xf>
    <xf borderId="3" fillId="6" fontId="10" numFmtId="0" xfId="0" applyAlignment="1" applyBorder="1" applyFill="1" applyFont="1">
      <alignment shrinkToFit="0" vertical="center" wrapText="0"/>
    </xf>
    <xf quotePrefix="1" borderId="2" fillId="5" fontId="10" numFmtId="0" xfId="0" applyAlignment="1" applyBorder="1" applyFill="1" applyFont="1">
      <alignment shrinkToFit="0" vertical="center" wrapText="0"/>
    </xf>
    <xf quotePrefix="1" borderId="2" fillId="5" fontId="10" numFmtId="0" xfId="0" applyAlignment="1" applyBorder="1" applyFill="1" applyFont="1">
      <alignment horizontal="right" shrinkToFit="0" vertical="center" wrapText="0"/>
    </xf>
    <xf borderId="0" fillId="5" fontId="10" numFmtId="0" xfId="0" applyAlignment="1" applyFill="1" applyFont="1">
      <alignment horizontal="right" shrinkToFit="0" vertical="center" wrapText="0"/>
    </xf>
    <xf borderId="0" fillId="5" fontId="10" numFmtId="0" xfId="0" applyAlignment="1" applyFill="1" applyFont="1">
      <alignment horizontal="right" readingOrder="0" shrinkToFit="0" vertical="center" wrapText="0"/>
    </xf>
    <xf borderId="0" fillId="0" fontId="5" numFmtId="166" xfId="0" applyAlignment="1" applyFont="1" applyNumberFormat="1">
      <alignment shrinkToFit="0" vertical="center" wrapText="0"/>
    </xf>
    <xf borderId="4" fillId="7" fontId="10" numFmtId="0" xfId="0" applyAlignment="1" applyBorder="1" applyFill="1" applyFont="1">
      <alignment shrinkToFit="0" vertical="center" wrapText="0"/>
    </xf>
    <xf borderId="4" fillId="7" fontId="10" numFmtId="0" xfId="0" applyAlignment="1" applyBorder="1" applyFill="1" applyFont="1">
      <alignment readingOrder="0" shrinkToFit="0" vertical="center" wrapText="0"/>
    </xf>
    <xf borderId="4" fillId="7" fontId="10" numFmtId="14" xfId="0" applyAlignment="1" applyBorder="1" applyFill="1" applyFont="1" applyNumberFormat="1">
      <alignment horizontal="right" shrinkToFit="0" vertical="center" wrapText="0"/>
    </xf>
    <xf quotePrefix="1" borderId="4" fillId="7" fontId="10" numFmtId="0" xfId="0" applyAlignment="1" applyBorder="1" applyFill="1" applyFont="1">
      <alignment shrinkToFit="0" vertical="center" wrapText="0"/>
    </xf>
    <xf borderId="1" fillId="0" fontId="5" numFmtId="3" xfId="0" applyAlignment="1" applyBorder="1" applyFont="1" applyNumberFormat="1">
      <alignment shrinkToFit="0" vertical="center" wrapText="0"/>
    </xf>
    <xf borderId="4" fillId="7" fontId="10" numFmtId="0" xfId="0" applyAlignment="1" applyBorder="1" applyFill="1" applyFont="1">
      <alignment horizontal="right" shrinkToFit="0" vertical="center" wrapText="0"/>
    </xf>
    <xf borderId="0" fillId="7" fontId="10" numFmtId="0" xfId="0" applyAlignment="1" applyFill="1" applyFont="1">
      <alignment horizontal="right" shrinkToFit="0" vertical="center" wrapText="0"/>
    </xf>
    <xf borderId="0" fillId="7" fontId="10" numFmtId="0" xfId="0" applyAlignment="1" applyFill="1" applyFont="1">
      <alignment horizontal="right" readingOrder="0" shrinkToFit="0" vertical="center" wrapText="0"/>
    </xf>
    <xf borderId="2" fillId="5" fontId="10" numFmtId="0" xfId="0" applyAlignment="1" applyBorder="1" applyFill="1" applyFont="1">
      <alignment horizontal="right" shrinkToFit="0" vertical="center" wrapText="0"/>
    </xf>
    <xf borderId="2" fillId="5" fontId="10" numFmtId="0" xfId="0" applyAlignment="1" applyBorder="1" applyFill="1" applyFont="1">
      <alignment readingOrder="0" shrinkToFit="0" vertical="center" wrapText="0"/>
    </xf>
    <xf borderId="5" fillId="2" fontId="10" numFmtId="0" xfId="0" applyAlignment="1" applyBorder="1" applyFill="1" applyFont="1">
      <alignment shrinkToFit="0" vertical="center" wrapText="0"/>
    </xf>
    <xf borderId="5" fillId="2" fontId="10" numFmtId="14" xfId="0" applyAlignment="1" applyBorder="1" applyFill="1" applyFont="1" applyNumberFormat="1">
      <alignment horizontal="right" shrinkToFit="0" vertical="center" wrapText="0"/>
    </xf>
    <xf quotePrefix="1" borderId="5" fillId="2" fontId="10" numFmtId="0" xfId="0" applyAlignment="1" applyBorder="1" applyFill="1" applyFont="1">
      <alignment shrinkToFit="0" vertical="center" wrapText="0"/>
    </xf>
    <xf borderId="5" fillId="2" fontId="10" numFmtId="0" xfId="0" applyAlignment="1" applyBorder="1" applyFill="1" applyFont="1">
      <alignment horizontal="right" shrinkToFit="0" vertical="center" wrapText="0"/>
    </xf>
    <xf borderId="0" fillId="2" fontId="10" numFmtId="0" xfId="0" applyAlignment="1" applyFill="1" applyFont="1">
      <alignment horizontal="right" readingOrder="0" shrinkToFit="0" vertical="center" wrapText="0"/>
    </xf>
    <xf borderId="0" fillId="4" fontId="7" numFmtId="0" xfId="0" applyAlignment="1" applyFill="1" applyFont="1">
      <alignment shrinkToFit="0" vertical="center" wrapText="0"/>
    </xf>
    <xf quotePrefix="1" borderId="4" fillId="7" fontId="10" numFmtId="0" xfId="0" applyAlignment="1" applyBorder="1" applyFill="1" applyFont="1">
      <alignment horizontal="right" shrinkToFit="0" vertical="center" wrapText="0"/>
    </xf>
    <xf borderId="5" fillId="2" fontId="10" numFmtId="0" xfId="0" applyAlignment="1" applyBorder="1" applyFill="1" applyFont="1">
      <alignment readingOrder="0" shrinkToFit="0" vertical="center" wrapText="0"/>
    </xf>
    <xf borderId="6" fillId="8" fontId="10" numFmtId="0" xfId="0" applyAlignment="1" applyBorder="1" applyFill="1" applyFont="1">
      <alignment shrinkToFit="0" vertical="center" wrapText="0"/>
    </xf>
    <xf borderId="6" fillId="8" fontId="10" numFmtId="14" xfId="0" applyAlignment="1" applyBorder="1" applyFill="1" applyFont="1" applyNumberFormat="1">
      <alignment horizontal="right" shrinkToFit="0" vertical="center" wrapText="0"/>
    </xf>
    <xf quotePrefix="1" borderId="6" fillId="8" fontId="10" numFmtId="0" xfId="0" applyAlignment="1" applyBorder="1" applyFill="1" applyFont="1">
      <alignment shrinkToFit="0" vertical="center" wrapText="0"/>
    </xf>
    <xf quotePrefix="1" borderId="6" fillId="8" fontId="10" numFmtId="0" xfId="0" applyAlignment="1" applyBorder="1" applyFill="1" applyFont="1">
      <alignment horizontal="right" shrinkToFit="0" vertical="center" wrapText="0"/>
    </xf>
    <xf borderId="0" fillId="8" fontId="10" numFmtId="0" xfId="0" applyAlignment="1" applyFill="1" applyFont="1">
      <alignment horizontal="right" shrinkToFit="0" vertical="center" wrapText="0"/>
    </xf>
    <xf borderId="0" fillId="8" fontId="10" numFmtId="0" xfId="0" applyAlignment="1" applyFill="1" applyFont="1">
      <alignment horizontal="righ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2" fontId="10" numFmtId="0" xfId="0" applyAlignment="1" applyFill="1" applyFont="1">
      <alignment horizontal="right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shrinkToFit="0" vertical="center" wrapText="0"/>
    </xf>
    <xf quotePrefix="1" borderId="5" fillId="2" fontId="10" numFmtId="0" xfId="0" applyAlignment="1" applyBorder="1" applyFill="1" applyFont="1">
      <alignment horizontal="right" shrinkToFit="0" vertical="center" wrapText="0"/>
    </xf>
    <xf borderId="7" fillId="5" fontId="10" numFmtId="0" xfId="0" applyAlignment="1" applyBorder="1" applyFill="1" applyFont="1">
      <alignment shrinkToFit="0" vertical="center" wrapText="0"/>
    </xf>
    <xf borderId="7" fillId="5" fontId="10" numFmtId="14" xfId="0" applyAlignment="1" applyBorder="1" applyFill="1" applyFont="1" applyNumberFormat="1">
      <alignment horizontal="right" shrinkToFit="0" vertical="center" wrapText="0"/>
    </xf>
    <xf quotePrefix="1" borderId="7" fillId="5" fontId="10" numFmtId="0" xfId="0" applyAlignment="1" applyBorder="1" applyFill="1" applyFont="1">
      <alignment shrinkToFit="0" vertical="center" wrapText="0"/>
    </xf>
    <xf borderId="7" fillId="5" fontId="10" numFmtId="0" xfId="0" applyAlignment="1" applyBorder="1" applyFill="1" applyFont="1">
      <alignment horizontal="right" shrinkToFit="0" vertical="center" wrapText="0"/>
    </xf>
    <xf borderId="0" fillId="0" fontId="5" numFmtId="3" xfId="0" applyAlignment="1" applyFont="1" applyNumberFormat="1">
      <alignment shrinkToFit="0" vertical="center" wrapText="0"/>
    </xf>
    <xf borderId="1" fillId="2" fontId="5" numFmtId="3" xfId="0" applyAlignment="1" applyBorder="1" applyFill="1" applyFont="1" applyNumberFormat="1">
      <alignment shrinkToFit="0" vertical="center" wrapText="0"/>
    </xf>
    <xf borderId="1" fillId="2" fontId="5" numFmtId="0" xfId="0" applyAlignment="1" applyBorder="1" applyFill="1" applyFont="1">
      <alignment readingOrder="0" shrinkToFit="0" vertical="center" wrapText="0"/>
    </xf>
    <xf borderId="1" fillId="2" fontId="5" numFmtId="0" xfId="0" applyAlignment="1" applyBorder="1" applyFill="1" applyFont="1">
      <alignment shrinkToFit="0" vertical="center" wrapText="0"/>
    </xf>
    <xf borderId="1" fillId="2" fontId="5" numFmtId="0" xfId="0" applyAlignment="1" applyBorder="1" applyFill="1" applyFont="1">
      <alignment shrinkToFit="0" vertical="center" wrapText="1"/>
    </xf>
    <xf borderId="1" fillId="2" fontId="5" numFmtId="0" xfId="0" applyAlignment="1" applyBorder="1" applyFill="1" applyFont="1">
      <alignment shrinkToFit="0" vertical="center" wrapText="0"/>
    </xf>
    <xf borderId="1" fillId="2" fontId="5" numFmtId="0" xfId="0" applyAlignment="1" applyBorder="1" applyFill="1" applyFont="1">
      <alignment shrinkToFit="0" vertical="center" wrapText="0"/>
    </xf>
    <xf borderId="1" fillId="2" fontId="5" numFmtId="0" xfId="0" applyAlignment="1" applyBorder="1" applyFill="1" applyFont="1">
      <alignment readingOrder="0" shrinkToFit="0" vertical="center" wrapText="0"/>
    </xf>
    <xf borderId="0" fillId="4" fontId="7" numFmtId="3" xfId="0" applyAlignment="1" applyFill="1" applyFont="1" applyNumberFormat="1">
      <alignment readingOrder="0" shrinkToFit="0" vertical="center" wrapText="0"/>
    </xf>
    <xf borderId="1" fillId="3" fontId="5" numFmtId="0" xfId="0" applyAlignment="1" applyBorder="1" applyFill="1" applyFont="1">
      <alignment readingOrder="0" shrinkToFit="0" vertical="center" wrapText="0"/>
    </xf>
    <xf borderId="1" fillId="0" fontId="5" numFmtId="0" xfId="0" applyAlignment="1" applyBorder="1" applyFont="1">
      <alignment shrinkToFit="0" vertical="center" wrapText="1"/>
    </xf>
    <xf quotePrefix="1"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315" displayName="Table1" name="Table1" id="1">
  <tableColumns count="25">
    <tableColumn name="ID Karyawan (Auto Generate)" id="1"/>
    <tableColumn name="Nama Karyawan (sesuai KTP)" id="2"/>
    <tableColumn name="Alamat sesuai KTP" id="3"/>
    <tableColumn name="Tanggal Lahir" id="4"/>
    <tableColumn name="Kota Kelahiran" id="5"/>
    <tableColumn name="Pendidikan Terakhir" id="6"/>
    <tableColumn name="No WA (Aktif)" id="7"/>
    <tableColumn name="Alamat Email (Aktif)" id="8"/>
    <tableColumn name="Nama Jabatan" id="9"/>
    <tableColumn name="Nama  Lokasi kerja _x000a_(jika promotor sebutkan nama toko penempatan)" id="10"/>
    <tableColumn name="Nama Kota/ Kabupaten_x000a_Lokasi Kerja" id="11"/>
    <tableColumn name="No Rekening BCA (Aktif)" id="12"/>
    <tableColumn name="Tgl join di Mito" id="13"/>
    <tableColumn name="Tgl awal kontrak (dg Damarindo)" id="14"/>
    <tableColumn name="Tgl akhir kontrak (StaffInc)" id="15"/>
    <tableColumn name="Nama Cabang_x000a_(Cost Center)" id="16"/>
    <tableColumn name="Entity" id="17"/>
    <tableColumn name="Skema Penggajian" id="18"/>
    <tableColumn name="Nominal UMK yang dipakai" id="19"/>
    <tableColumn name="Amount Gaji Pokok" id="20"/>
    <tableColumn name="Amount Insentif 30%" id="21"/>
    <tableColumn name="Remarks" id="22"/>
    <tableColumn name="Basic Salary (StaffInc)" id="23"/>
    <tableColumn name="Tunjangan (StaffInc)" id="24"/>
    <tableColumn name="Total" id="25"/>
  </tableColumns>
  <tableStyleInfo name="RAW DATA-style" showColumnStripes="0" showFirstColumn="1" showLastColumn="1" showRowStripes="1"/>
</table>
</file>

<file path=xl/tables/table2.xml><?xml version="1.0" encoding="utf-8"?>
<table xmlns="http://schemas.openxmlformats.org/spreadsheetml/2006/main" ref="A1:P132" displayName="Table2" name="Table2" id="2">
  <autoFilter ref="$A$1:$P$132"/>
  <tableColumns count="16">
    <tableColumn name="Nama Kota Penempatan" id="1"/>
    <tableColumn name="NAMA SESUAI KTP" id="2"/>
    <tableColumn name="Alamat sesuai ktp" id="3"/>
    <tableColumn name="Tgl Lahir" id="4"/>
    <tableColumn name="Column 14" id="5"/>
    <tableColumn name="Kota Kelahiran" id="6"/>
    <tableColumn name="TTL" id="7"/>
    <tableColumn name="Pendidikan Terakhir" id="8"/>
    <tableColumn name="No WA yang bisa di hubungi" id="9"/>
    <tableColumn name="Alamat Email" id="10"/>
    <tableColumn name="Lokasi Toko Penempatan Kerja" id="11"/>
    <tableColumn name="No Rekening Bank BCA" id="12"/>
    <tableColumn name="Column 1" id="13"/>
    <tableColumn name="Cek" id="14"/>
    <tableColumn name="scan pkwt" id="15"/>
    <tableColumn name="cek dg database" id="16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25"/>
    <col customWidth="1" min="2" max="2" width="32.0"/>
    <col customWidth="1" min="3" max="3" width="49.5"/>
    <col customWidth="1" min="4" max="4" width="15.5"/>
    <col customWidth="1" min="5" max="5" width="16.25"/>
    <col customWidth="1" min="6" max="6" width="20.13"/>
    <col customWidth="1" min="7" max="7" width="15.63"/>
    <col customWidth="1" min="8" max="8" width="34.88"/>
    <col customWidth="1" min="9" max="9" width="19.63"/>
    <col customWidth="1" min="10" max="10" width="41.75"/>
    <col customWidth="1" min="11" max="12" width="23.5"/>
    <col customWidth="1" min="13" max="13" width="19.63"/>
    <col customWidth="1" min="14" max="15" width="20.88"/>
    <col customWidth="1" min="16" max="16" width="16.13"/>
    <col customWidth="1" min="17" max="17" width="30.25"/>
    <col customWidth="1" min="18" max="18" width="14.75"/>
    <col customWidth="1" min="19" max="19" width="19.0"/>
    <col customWidth="1" min="20" max="21" width="18.0"/>
    <col customWidth="1" min="22" max="22" width="22.38"/>
    <col customWidth="1" min="23" max="23" width="18.0"/>
    <col customWidth="1" min="24" max="24" width="16.63"/>
  </cols>
  <sheetData>
    <row r="1" ht="22.5" customHeight="1">
      <c r="A1" s="15" t="s">
        <v>249</v>
      </c>
      <c r="B1" s="15" t="s">
        <v>279</v>
      </c>
      <c r="C1" s="15" t="s">
        <v>285</v>
      </c>
      <c r="D1" s="15" t="s">
        <v>290</v>
      </c>
      <c r="E1" s="15" t="s">
        <v>294</v>
      </c>
      <c r="F1" s="15" t="s">
        <v>298</v>
      </c>
      <c r="G1" s="15" t="s">
        <v>301</v>
      </c>
      <c r="H1" s="15" t="s">
        <v>303</v>
      </c>
      <c r="I1" s="15" t="s">
        <v>307</v>
      </c>
      <c r="J1" s="15" t="s">
        <v>309</v>
      </c>
      <c r="K1" s="15" t="s">
        <v>312</v>
      </c>
      <c r="L1" s="15" t="s">
        <v>315</v>
      </c>
      <c r="M1" s="15" t="s">
        <v>321</v>
      </c>
      <c r="N1" s="15" t="s">
        <v>322</v>
      </c>
      <c r="O1" s="15" t="s">
        <v>325</v>
      </c>
      <c r="P1" s="15" t="s">
        <v>327</v>
      </c>
      <c r="Q1" s="15" t="s">
        <v>66</v>
      </c>
      <c r="R1" s="15" t="s">
        <v>331</v>
      </c>
      <c r="S1" s="15" t="s">
        <v>336</v>
      </c>
      <c r="T1" s="16" t="s">
        <v>339</v>
      </c>
      <c r="U1" s="17" t="s">
        <v>343</v>
      </c>
      <c r="V1" s="15" t="s">
        <v>348</v>
      </c>
      <c r="W1" s="18" t="s">
        <v>351</v>
      </c>
      <c r="X1" s="18" t="s">
        <v>354</v>
      </c>
      <c r="Y1" s="18" t="s">
        <v>356</v>
      </c>
    </row>
    <row r="2" ht="22.5" customHeight="1">
      <c r="A2" s="19" t="s">
        <v>361</v>
      </c>
      <c r="B2" s="20" t="s">
        <v>367</v>
      </c>
      <c r="C2" s="21" t="str">
        <f>vlookup(B2,Sheet3!B:C,2,0)</f>
        <v>Jln. Jelawat </v>
      </c>
      <c r="D2" s="22">
        <f>vlookup(B2,Sheet3!B:D,3,0)</f>
        <v>39148</v>
      </c>
      <c r="E2" s="20" t="str">
        <f>vlookup(B2,Sheet3!B:F,5,0)</f>
        <v>Samarinda</v>
      </c>
      <c r="F2" s="20" t="str">
        <f>vlookup(B2,Sheet3!B:H,7,0)</f>
        <v>SLTA</v>
      </c>
      <c r="G2" s="23" t="str">
        <f>vlookup(B2,Sheet3!B:I,8,0)</f>
        <v>088705334961</v>
      </c>
      <c r="H2" s="23" t="str">
        <f>vlookup(B2,Sheet3!B:J,9,0)</f>
        <v>bypisbel7@gmail.com</v>
      </c>
      <c r="I2" s="24" t="s">
        <v>455</v>
      </c>
      <c r="J2" s="23" t="str">
        <f>vlookup(B2,Sheet2!B:D,3,0)</f>
        <v>MAMASUKA</v>
      </c>
      <c r="K2" s="23" t="str">
        <f>vlookup(A2,Sheet2!A:E,5,0)</f>
        <v>SAMARINDA</v>
      </c>
      <c r="L2" s="25">
        <f>VLOOKUP(B2,Sheet3!B:L,11,0)</f>
        <v>8355484218</v>
      </c>
      <c r="M2" s="26">
        <v>46280.0</v>
      </c>
      <c r="N2" s="26">
        <v>46280.0</v>
      </c>
      <c r="O2" s="26"/>
      <c r="P2" s="23" t="str">
        <f>VLOOKUP(A2,Sheet2!A:F,6,0)</f>
        <v>SAMARINDA</v>
      </c>
      <c r="Q2" s="24" t="s">
        <v>501</v>
      </c>
      <c r="R2" s="27" t="s">
        <v>505</v>
      </c>
      <c r="S2" s="28">
        <v>3984000.0</v>
      </c>
      <c r="T2" s="29">
        <v>2788800.0</v>
      </c>
      <c r="U2" s="30">
        <v>1195200.0</v>
      </c>
      <c r="V2" s="19" t="s">
        <v>520</v>
      </c>
      <c r="W2" s="31"/>
      <c r="X2" s="31"/>
      <c r="Y2" s="31">
        <f t="shared" ref="Y2:Y14" si="1">W2+X2</f>
        <v>0</v>
      </c>
    </row>
    <row r="3" ht="22.5" customHeight="1">
      <c r="A3" s="19" t="s">
        <v>560</v>
      </c>
      <c r="B3" s="20" t="s">
        <v>40</v>
      </c>
      <c r="C3" s="21" t="str">
        <f>vlookup(B3,Sheet3!B:C,2,0)</f>
        <v>Dusun Tamansari RT 012 / RW 004 ,kel. Kertahayu kec. Pamarican </v>
      </c>
      <c r="D3" s="22">
        <f>vlookup(B3,Sheet3!B:D,3,0)</f>
        <v>33737</v>
      </c>
      <c r="E3" s="20" t="str">
        <f>vlookup(B3,Sheet3!B:F,5,0)</f>
        <v>CIAMIS</v>
      </c>
      <c r="F3" s="20" t="str">
        <f>vlookup(B3,Sheet3!B:H,7,0)</f>
        <v>SLTA</v>
      </c>
      <c r="G3" s="23" t="str">
        <f>vlookup(B3,Sheet3!B:I,8,0)</f>
        <v>085849233099</v>
      </c>
      <c r="H3" s="23" t="str">
        <f>vlookup(B3,Sheet3!B:J,9,0)</f>
        <v>Adelinemeidian@gmail.com</v>
      </c>
      <c r="I3" s="24" t="s">
        <v>600</v>
      </c>
      <c r="J3" s="23" t="str">
        <f>vlookup(B3,Sheet2!B:D,3,0)</f>
        <v>MALL KELAPA GADING</v>
      </c>
      <c r="K3" s="23" t="str">
        <f>vlookup(A3,Sheet2!A:E,5,0)</f>
        <v>JAKARTA</v>
      </c>
      <c r="L3" s="25">
        <f>VLOOKUP(B3,Sheet3!B:L,11,0)</f>
        <v>5910185235</v>
      </c>
      <c r="M3" s="32">
        <v>44852.0</v>
      </c>
      <c r="N3" s="26">
        <v>46266.0</v>
      </c>
      <c r="O3" s="32">
        <v>46265.0</v>
      </c>
      <c r="P3" s="23" t="str">
        <f>VLOOKUP(A3,Sheet2!A:F,6,0)</f>
        <v>JAKARTA</v>
      </c>
      <c r="Q3" s="24" t="s">
        <v>501</v>
      </c>
      <c r="R3" s="27" t="s">
        <v>632</v>
      </c>
      <c r="S3" s="28">
        <v>5730000.0</v>
      </c>
      <c r="T3" s="29">
        <v>5730000.0</v>
      </c>
      <c r="U3" s="33"/>
      <c r="V3" s="23"/>
      <c r="W3" s="31">
        <v>5729876.0</v>
      </c>
      <c r="X3" s="31">
        <v>600000.0</v>
      </c>
      <c r="Y3" s="31">
        <f t="shared" si="1"/>
        <v>6329876</v>
      </c>
    </row>
    <row r="4" ht="22.5" customHeight="1">
      <c r="A4" s="19" t="s">
        <v>654</v>
      </c>
      <c r="B4" s="20" t="s">
        <v>657</v>
      </c>
      <c r="C4" s="21" t="str">
        <f>vlookup(B4,Sheet3!B:C,2,0)</f>
        <v>JL.KASAN REJO 2 </v>
      </c>
      <c r="D4" s="22">
        <f>vlookup(B4,Sheet3!B:D,3,0)</f>
        <v>36395</v>
      </c>
      <c r="E4" s="20" t="str">
        <f>vlookup(B4,Sheet3!B:F,5,0)</f>
        <v>JEPARA</v>
      </c>
      <c r="F4" s="20" t="str">
        <f>vlookup(B4,Sheet3!B:H,7,0)</f>
        <v>SLTA</v>
      </c>
      <c r="G4" s="23" t="str">
        <f>vlookup(B4,Sheet3!B:I,8,0)</f>
        <v>0811522178</v>
      </c>
      <c r="H4" s="23" t="str">
        <f>vlookup(B4,Sheet3!B:J,9,0)</f>
        <v>ningrumtia03@gmail.com</v>
      </c>
      <c r="I4" s="24" t="s">
        <v>455</v>
      </c>
      <c r="J4" s="23" t="str">
        <f>vlookup(B4,Sheet2!B:D,3,0)</f>
        <v>NUANSA PANGKALANBUN</v>
      </c>
      <c r="K4" s="23" t="str">
        <f>vlookup(A4,Sheet2!A:E,5,0)</f>
        <v>KOTAWARINGIN BARAT</v>
      </c>
      <c r="L4" s="25">
        <f>VLOOKUP(B4,Sheet3!B:L,11,0)</f>
        <v>8585226544</v>
      </c>
      <c r="M4" s="32">
        <f>vlookup(B4,'data staffinc_3'!B:I,7,0)</f>
        <v>45546</v>
      </c>
      <c r="N4" s="26">
        <v>46266.0</v>
      </c>
      <c r="O4" s="32">
        <f>vlookup(B4,'data staffinc_3'!B:I,8,0)</f>
        <v>46265</v>
      </c>
      <c r="P4" s="23" t="str">
        <f>VLOOKUP(A4,Sheet2!A:F,6,0)</f>
        <v>BANJARMASIN</v>
      </c>
      <c r="Q4" s="24" t="s">
        <v>501</v>
      </c>
      <c r="R4" s="27" t="s">
        <v>505</v>
      </c>
      <c r="S4" s="28">
        <v>3910000.0</v>
      </c>
      <c r="T4" s="29">
        <v>2737000.0</v>
      </c>
      <c r="U4" s="30">
        <v>1173000.0</v>
      </c>
      <c r="V4" s="23"/>
      <c r="W4" s="31">
        <v>3909005.0</v>
      </c>
      <c r="X4" s="31">
        <v>0.0</v>
      </c>
      <c r="Y4" s="31">
        <f t="shared" si="1"/>
        <v>3909005</v>
      </c>
    </row>
    <row r="5" ht="22.5" customHeight="1">
      <c r="A5" s="19" t="s">
        <v>769</v>
      </c>
      <c r="B5" s="20" t="s">
        <v>141</v>
      </c>
      <c r="C5" s="21" t="str">
        <f>vlookup(B5,Sheet3!B:C,2,0)</f>
        <v>Jl jagalan no 65</v>
      </c>
      <c r="D5" s="22">
        <f>vlookup(B5,Sheet3!B:D,3,0)</f>
        <v>31634</v>
      </c>
      <c r="E5" s="20" t="str">
        <f>vlookup(B5,Sheet3!B:F,5,0)</f>
        <v>Yogyakarta</v>
      </c>
      <c r="F5" s="20" t="str">
        <f>vlookup(B5,Sheet3!B:H,7,0)</f>
        <v>SLTA</v>
      </c>
      <c r="G5" s="23" t="str">
        <f>vlookup(B5,Sheet3!B:I,8,0)</f>
        <v>087814045446</v>
      </c>
      <c r="H5" s="23" t="str">
        <f>vlookup(B5,Sheet3!B:J,9,0)</f>
        <v>galuh8893@gmail.com</v>
      </c>
      <c r="I5" s="24" t="s">
        <v>455</v>
      </c>
      <c r="J5" s="23" t="str">
        <f>vlookup(B5,Sheet2!B:D,3,0)</f>
        <v>UFO YOGYAKARTA JOKTENG</v>
      </c>
      <c r="K5" s="23" t="str">
        <f>vlookup(A5,Sheet2!A:E,5,0)</f>
        <v>YOGYAKARTA</v>
      </c>
      <c r="L5" s="25">
        <f>VLOOKUP(B5,Sheet3!B:L,11,0)</f>
        <v>1690194631</v>
      </c>
      <c r="M5" s="32">
        <v>45819.0</v>
      </c>
      <c r="N5" s="26">
        <v>46266.0</v>
      </c>
      <c r="O5" s="32">
        <v>46265.0</v>
      </c>
      <c r="P5" s="23" t="str">
        <f>VLOOKUP(A5,Sheet2!A:F,6,0)</f>
        <v>SEMARANG</v>
      </c>
      <c r="Q5" s="24" t="s">
        <v>501</v>
      </c>
      <c r="R5" s="27" t="s">
        <v>505</v>
      </c>
      <c r="S5" s="28">
        <v>2828000.0</v>
      </c>
      <c r="T5" s="29">
        <v>1979600.0</v>
      </c>
      <c r="U5" s="30">
        <v>848400.0</v>
      </c>
      <c r="V5" s="23"/>
      <c r="W5" s="31">
        <v>2827593.0</v>
      </c>
      <c r="X5" s="31">
        <v>0.0</v>
      </c>
      <c r="Y5" s="31">
        <f t="shared" si="1"/>
        <v>2827593</v>
      </c>
    </row>
    <row r="6" ht="22.5" customHeight="1">
      <c r="A6" s="19" t="s">
        <v>795</v>
      </c>
      <c r="B6" s="20" t="s">
        <v>401</v>
      </c>
      <c r="C6" s="21" t="str">
        <f>vlookup(B6,Sheet3!B:C,2,0)</f>
        <v>Jl. Kelayan A | Gang Sidodadi RT.11 RW.01 No.18</v>
      </c>
      <c r="D6" s="22">
        <f>vlookup(B6,Sheet3!B:D,3,0)</f>
        <v>34822</v>
      </c>
      <c r="E6" s="20" t="str">
        <f>vlookup(B6,Sheet3!B:F,5,0)</f>
        <v>Banjarmasin </v>
      </c>
      <c r="F6" s="20" t="str">
        <f>vlookup(B6,Sheet3!B:H,7,0)</f>
        <v>SLTA</v>
      </c>
      <c r="G6" s="23" t="str">
        <f>vlookup(B6,Sheet3!B:I,8,0)</f>
        <v>0895608199789</v>
      </c>
      <c r="H6" s="23" t="str">
        <f>vlookup(B6,Sheet3!B:J,9,0)</f>
        <v>program.ainun@gmail.com</v>
      </c>
      <c r="I6" s="24" t="s">
        <v>455</v>
      </c>
      <c r="J6" s="23" t="str">
        <f>vlookup(B6,Sheet2!B:D,3,0)</f>
        <v>GOLDEN 10</v>
      </c>
      <c r="K6" s="23" t="str">
        <f>vlookup(A6,Sheet2!A:E,5,0)</f>
        <v>BANJARMASIN</v>
      </c>
      <c r="L6" s="25">
        <f>VLOOKUP(B6,Sheet3!B:L,11,0)</f>
        <v>7820819785</v>
      </c>
      <c r="M6" s="32">
        <f>vlookup(B6,'data staffinc_3'!B:I,7,0)</f>
        <v>45685</v>
      </c>
      <c r="N6" s="26">
        <v>46266.0</v>
      </c>
      <c r="O6" s="32">
        <f>vlookup(B6,'data staffinc_3'!B:I,8,0)</f>
        <v>46265</v>
      </c>
      <c r="P6" s="23" t="str">
        <f>VLOOKUP(A6,Sheet2!A:F,6,0)</f>
        <v>BANJARMASIN</v>
      </c>
      <c r="Q6" s="24" t="s">
        <v>501</v>
      </c>
      <c r="R6" s="27" t="s">
        <v>505</v>
      </c>
      <c r="S6" s="28">
        <v>3856000.0</v>
      </c>
      <c r="T6" s="29">
        <v>2699200.0</v>
      </c>
      <c r="U6" s="30">
        <v>1156800.0</v>
      </c>
      <c r="V6" s="23"/>
      <c r="W6" s="31">
        <v>3855894.0</v>
      </c>
      <c r="X6" s="31">
        <v>0.0</v>
      </c>
      <c r="Y6" s="31">
        <f t="shared" si="1"/>
        <v>3855894</v>
      </c>
    </row>
    <row r="7" ht="22.5" customHeight="1">
      <c r="A7" s="19" t="s">
        <v>798</v>
      </c>
      <c r="B7" s="20" t="s">
        <v>20</v>
      </c>
      <c r="C7" s="21" t="str">
        <f>vlookup(B7,Sheet3!B:C,2,0)</f>
        <v>Jl.Buni Malaka Rt06/08 no 15 kel.munjul kec. Cipayung Jakarta Timur</v>
      </c>
      <c r="D7" s="22">
        <f>vlookup(B7,Sheet3!B:D,3,0)</f>
        <v>31659</v>
      </c>
      <c r="E7" s="20" t="str">
        <f>vlookup(B7,Sheet3!B:F,5,0)</f>
        <v>Jakarta </v>
      </c>
      <c r="F7" s="20" t="str">
        <f>vlookup(B7,Sheet3!B:H,7,0)</f>
        <v>SLTA</v>
      </c>
      <c r="G7" s="23" t="str">
        <f>vlookup(B7,Sheet3!B:I,8,0)</f>
        <v>087887345099</v>
      </c>
      <c r="H7" s="23" t="str">
        <f>vlookup(B7,Sheet3!B:J,9,0)</f>
        <v>Anggipawestri04@gmail.com</v>
      </c>
      <c r="I7" s="24" t="s">
        <v>455</v>
      </c>
      <c r="J7" s="23" t="str">
        <f>vlookup(B7,Sheet2!B:D,3,0)</f>
        <v>HARAPAN BARU</v>
      </c>
      <c r="K7" s="19" t="s">
        <v>791</v>
      </c>
      <c r="L7" s="25">
        <f>VLOOKUP(B7,Sheet3!B:L,11,0)</f>
        <v>8691115984</v>
      </c>
      <c r="M7" s="32">
        <v>43409.0</v>
      </c>
      <c r="N7" s="26">
        <v>46266.0</v>
      </c>
      <c r="O7" s="32">
        <v>46265.0</v>
      </c>
      <c r="P7" s="23" t="str">
        <f>VLOOKUP(A7,Sheet2!A:F,6,0)</f>
        <v>JAKARTA</v>
      </c>
      <c r="Q7" s="24" t="s">
        <v>501</v>
      </c>
      <c r="R7" s="27" t="s">
        <v>505</v>
      </c>
      <c r="S7" s="28">
        <v>5730000.0</v>
      </c>
      <c r="T7" s="29">
        <v>4011000.0</v>
      </c>
      <c r="U7" s="30">
        <v>1719000.0</v>
      </c>
      <c r="V7" s="23"/>
      <c r="W7" s="31">
        <v>5729876.0</v>
      </c>
      <c r="X7" s="31">
        <v>0.0</v>
      </c>
      <c r="Y7" s="31">
        <f t="shared" si="1"/>
        <v>5729876</v>
      </c>
    </row>
    <row r="8" ht="22.5" customHeight="1">
      <c r="A8" s="19" t="s">
        <v>803</v>
      </c>
      <c r="B8" s="20" t="s">
        <v>180</v>
      </c>
      <c r="C8" s="21" t="str">
        <f>vlookup(B8,Sheet3!B:C,2,0)</f>
        <v>jl.lingkar kota</v>
      </c>
      <c r="D8" s="22">
        <f>vlookup(B8,Sheet3!B:D,3,0)</f>
        <v>38319</v>
      </c>
      <c r="E8" s="20" t="str">
        <f>vlookup(B8,Sheet3!B:F,5,0)</f>
        <v>subang, jawa barat</v>
      </c>
      <c r="F8" s="20" t="str">
        <f>vlookup(B8,Sheet3!B:H,7,0)</f>
        <v>SLTA</v>
      </c>
      <c r="G8" s="23" t="str">
        <f>vlookup(B8,Sheet3!B:I,8,0)</f>
        <v>089524367514</v>
      </c>
      <c r="H8" s="23" t="str">
        <f>vlookup(B8,Sheet3!B:J,9,0)</f>
        <v>uchanel1983@gmail.com</v>
      </c>
      <c r="I8" s="24" t="s">
        <v>455</v>
      </c>
      <c r="J8" s="23" t="str">
        <f>vlookup(B8,Sheet2!B:D,3,0)</f>
        <v>OSCAR GEMILANG</v>
      </c>
      <c r="K8" s="23" t="str">
        <f>vlookup(A8,Sheet2!A:E,5,0)</f>
        <v>KETAPANG</v>
      </c>
      <c r="L8" s="25"/>
      <c r="M8" s="32">
        <v>45957.0</v>
      </c>
      <c r="N8" s="26">
        <v>46266.0</v>
      </c>
      <c r="O8" s="32">
        <v>46265.0</v>
      </c>
      <c r="P8" s="23" t="str">
        <f>VLOOKUP(A8,Sheet2!A:F,6,0)</f>
        <v>PONTIANAK</v>
      </c>
      <c r="Q8" s="24" t="s">
        <v>501</v>
      </c>
      <c r="R8" s="27" t="s">
        <v>505</v>
      </c>
      <c r="S8" s="28">
        <v>3562000.0</v>
      </c>
      <c r="T8" s="29">
        <v>2493400.0</v>
      </c>
      <c r="U8" s="30">
        <v>1068600.0</v>
      </c>
      <c r="V8" s="23"/>
      <c r="W8" s="31">
        <v>3561801.0</v>
      </c>
      <c r="X8" s="31">
        <v>0.0</v>
      </c>
      <c r="Y8" s="31">
        <f t="shared" si="1"/>
        <v>3561801</v>
      </c>
    </row>
    <row r="9" ht="22.5" customHeight="1">
      <c r="A9" s="19" t="s">
        <v>807</v>
      </c>
      <c r="B9" s="20" t="s">
        <v>29</v>
      </c>
      <c r="C9" s="21" t="str">
        <f>vlookup(B9,Sheet3!B:C,2,0)</f>
        <v>Jl.keramat gg satu dua rt.10 no.37d kelurahan sungai bilu kecamatan banjarmasin timur banjarmasin 70236</v>
      </c>
      <c r="D9" s="22">
        <f>vlookup(B9,Sheet3!B:D,3,0)</f>
        <v>33553</v>
      </c>
      <c r="E9" s="20" t="str">
        <f>vlookup(B9,Sheet3!B:F,5,0)</f>
        <v>Banjarmasin</v>
      </c>
      <c r="F9" s="20" t="str">
        <f>vlookup(B9,Sheet3!B:H,7,0)</f>
        <v>SLTA</v>
      </c>
      <c r="G9" s="23" t="str">
        <f>vlookup(B9,Sheet3!B:I,8,0)</f>
        <v>085754771101</v>
      </c>
      <c r="H9" s="23" t="str">
        <f>vlookup(B9,Sheet3!B:J,9,0)</f>
        <v>Annisaauliani11@gmail.com</v>
      </c>
      <c r="I9" s="24" t="s">
        <v>455</v>
      </c>
      <c r="J9" s="23" t="str">
        <f>vlookup(B9,Sheet2!B:D,3,0)</f>
        <v>POS ELEKTRONIK</v>
      </c>
      <c r="K9" s="23" t="str">
        <f>vlookup(A9,Sheet2!A:E,5,0)</f>
        <v>BANJARMASIN</v>
      </c>
      <c r="L9" s="25" t="str">
        <f>VLOOKUP(B9,Sheet3!B:L,11,0)</f>
        <v>0511915910</v>
      </c>
      <c r="M9" s="32">
        <v>42826.0</v>
      </c>
      <c r="N9" s="26">
        <v>46266.0</v>
      </c>
      <c r="O9" s="32">
        <v>46265.0</v>
      </c>
      <c r="P9" s="23" t="str">
        <f>VLOOKUP(A9,Sheet2!A:F,6,0)</f>
        <v>BANJARMASIN</v>
      </c>
      <c r="Q9" s="24" t="s">
        <v>501</v>
      </c>
      <c r="R9" s="27" t="s">
        <v>505</v>
      </c>
      <c r="S9" s="28">
        <v>3856000.0</v>
      </c>
      <c r="T9" s="29">
        <v>2699200.0</v>
      </c>
      <c r="U9" s="30">
        <v>1156800.0</v>
      </c>
      <c r="V9" s="23"/>
      <c r="W9" s="31">
        <v>3855894.0</v>
      </c>
      <c r="X9" s="31">
        <v>0.0</v>
      </c>
      <c r="Y9" s="31">
        <f t="shared" si="1"/>
        <v>3855894</v>
      </c>
    </row>
    <row r="10" ht="22.5" customHeight="1">
      <c r="A10" s="19" t="s">
        <v>809</v>
      </c>
      <c r="B10" s="20" t="s">
        <v>267</v>
      </c>
      <c r="C10" s="21" t="str">
        <f>vlookup(B10,Sheet3!B:C,2,0)</f>
        <v>Vila Mutiara Asri VII No.12</v>
      </c>
      <c r="D10" s="22">
        <f>vlookup(B10,Sheet3!B:D,3,0)</f>
        <v>34283</v>
      </c>
      <c r="E10" s="20" t="str">
        <f>vlookup(B10,Sheet3!B:F,5,0)</f>
        <v>Makassar</v>
      </c>
      <c r="F10" s="20" t="str">
        <f>vlookup(B10,Sheet3!B:H,7,0)</f>
        <v>S1</v>
      </c>
      <c r="G10" s="23" t="str">
        <f>vlookup(B10,Sheet3!B:I,8,0)</f>
        <v>085756517715</v>
      </c>
      <c r="H10" s="23" t="str">
        <f>vlookup(B10,Sheet3!B:J,9,0)</f>
        <v>ardibasri948@gmail.com</v>
      </c>
      <c r="I10" s="24" t="s">
        <v>704</v>
      </c>
      <c r="J10" s="23" t="str">
        <f>vlookup(B10,Sheet2!B:D,3,0)</f>
        <v>MAKASSAR</v>
      </c>
      <c r="K10" s="23" t="str">
        <f>vlookup(A10,Sheet2!A:E,5,0)</f>
        <v>MAKASSAR</v>
      </c>
      <c r="L10" s="25" t="str">
        <f>VLOOKUP(B10,Sheet3!B:L,11,0)</f>
        <v>0251548799</v>
      </c>
      <c r="M10" s="32">
        <f>vlookup(B10,'data staffinc_3'!B:I,7,0)</f>
        <v>46175</v>
      </c>
      <c r="N10" s="26">
        <v>46266.0</v>
      </c>
      <c r="O10" s="32">
        <f>vlookup(B10,'data staffinc_3'!B:I,8,0)</f>
        <v>46265</v>
      </c>
      <c r="P10" s="23" t="str">
        <f>VLOOKUP(A10,Sheet2!A:F,6,0)</f>
        <v>MAKASSAR</v>
      </c>
      <c r="Q10" s="24" t="s">
        <v>501</v>
      </c>
      <c r="R10" s="27" t="s">
        <v>632</v>
      </c>
      <c r="S10" s="54"/>
      <c r="T10" s="29">
        <v>5128000.0</v>
      </c>
      <c r="U10" s="33"/>
      <c r="V10" s="23"/>
      <c r="W10" s="31">
        <v>4977815.0</v>
      </c>
      <c r="X10" s="31">
        <v>150000.0</v>
      </c>
      <c r="Y10" s="31">
        <f t="shared" si="1"/>
        <v>5127815</v>
      </c>
    </row>
    <row r="11" ht="22.5" customHeight="1">
      <c r="A11" s="19" t="s">
        <v>810</v>
      </c>
      <c r="B11" s="20" t="s">
        <v>247</v>
      </c>
      <c r="C11" s="21" t="str">
        <f>vlookup(B11,Sheet3!B:C,2,0)</f>
        <v>Jl.margoyoso IV rt 6/4</v>
      </c>
      <c r="D11" s="22">
        <f>vlookup(B11,Sheet3!B:D,3,0)</f>
        <v>38188</v>
      </c>
      <c r="E11" s="20" t="str">
        <f>vlookup(B11,Sheet3!B:F,5,0)</f>
        <v>Semarang </v>
      </c>
      <c r="F11" s="20" t="str">
        <f>vlookup(B11,Sheet3!B:H,7,0)</f>
        <v>SLTA</v>
      </c>
      <c r="G11" s="23" t="str">
        <f>vlookup(B11,Sheet3!B:I,8,0)</f>
        <v>08973123823</v>
      </c>
      <c r="H11" s="23" t="str">
        <f>vlookup(B11,Sheet3!B:J,9,0)</f>
        <v>arentaputriwidyaningsih200704@gmail.com</v>
      </c>
      <c r="I11" s="24" t="s">
        <v>455</v>
      </c>
      <c r="J11" s="23" t="str">
        <f>vlookup(B11,Sheet2!B:D,3,0)</f>
        <v>ADA SILIWANGI</v>
      </c>
      <c r="K11" s="23" t="str">
        <f>vlookup(A11,Sheet2!A:E,5,0)</f>
        <v>SEMARANG</v>
      </c>
      <c r="L11" s="25">
        <f>VLOOKUP(B11,Sheet3!B:L,11,0)</f>
        <v>8715675648</v>
      </c>
      <c r="M11" s="32">
        <v>46146.0</v>
      </c>
      <c r="N11" s="26">
        <v>46266.0</v>
      </c>
      <c r="O11" s="32">
        <v>46265.0</v>
      </c>
      <c r="P11" s="23" t="str">
        <f>VLOOKUP(A11,Sheet2!A:F,6,0)</f>
        <v>SEMARANG</v>
      </c>
      <c r="Q11" s="24" t="s">
        <v>501</v>
      </c>
      <c r="R11" s="27" t="s">
        <v>505</v>
      </c>
      <c r="S11" s="28">
        <v>3702000.0</v>
      </c>
      <c r="T11" s="29">
        <v>2591400.0</v>
      </c>
      <c r="U11" s="30">
        <v>1110600.0</v>
      </c>
      <c r="V11" s="23"/>
      <c r="W11" s="31">
        <v>3701709.0</v>
      </c>
      <c r="X11" s="31">
        <v>0.0</v>
      </c>
      <c r="Y11" s="31">
        <f t="shared" si="1"/>
        <v>3701709</v>
      </c>
    </row>
    <row r="12" ht="22.5" customHeight="1">
      <c r="A12" s="19" t="s">
        <v>812</v>
      </c>
      <c r="B12" s="20" t="s">
        <v>45</v>
      </c>
      <c r="C12" s="21" t="str">
        <f>vlookup(B12,Sheet3!B:C,2,0)</f>
        <v>Jl.Gunung Sahari 9 RT.005 RW.004 Kel.Gunung Sahari Utara, kec.Sawah besar, Jakarta pusat </v>
      </c>
      <c r="D12" s="22">
        <f>vlookup(B12,Sheet3!B:D,3,0)</f>
        <v>32778</v>
      </c>
      <c r="E12" s="20" t="str">
        <f>vlookup(B12,Sheet3!B:F,5,0)</f>
        <v>Jakarta </v>
      </c>
      <c r="F12" s="20" t="str">
        <f>vlookup(B12,Sheet3!B:H,7,0)</f>
        <v>SLTA</v>
      </c>
      <c r="G12" s="23" t="str">
        <f>vlookup(B12,Sheet3!B:I,8,0)</f>
        <v>085780008440</v>
      </c>
      <c r="H12" s="23" t="str">
        <f>vlookup(B12,Sheet3!B:J,9,0)</f>
        <v>nayarengganis25@gmail.com</v>
      </c>
      <c r="I12" s="24" t="s">
        <v>600</v>
      </c>
      <c r="J12" s="23" t="str">
        <f>vlookup(B12,Sheet2!B:D,3,0)</f>
        <v>MALL KELAPA GADING</v>
      </c>
      <c r="K12" s="23" t="str">
        <f>vlookup(A12,Sheet2!A:E,5,0)</f>
        <v>JAKARTA</v>
      </c>
      <c r="L12" s="25">
        <f>VLOOKUP(B12,Sheet3!B:L,11,0)</f>
        <v>6840428964</v>
      </c>
      <c r="M12" s="32">
        <v>44844.0</v>
      </c>
      <c r="N12" s="26">
        <v>46266.0</v>
      </c>
      <c r="O12" s="32">
        <v>46265.0</v>
      </c>
      <c r="P12" s="23" t="str">
        <f>VLOOKUP(A12,Sheet2!A:F,6,0)</f>
        <v>JAKARTA</v>
      </c>
      <c r="Q12" s="24" t="s">
        <v>501</v>
      </c>
      <c r="R12" s="27" t="s">
        <v>632</v>
      </c>
      <c r="S12" s="28">
        <v>5730000.0</v>
      </c>
      <c r="T12" s="29">
        <v>5730000.0</v>
      </c>
      <c r="U12" s="33"/>
      <c r="V12" s="23"/>
      <c r="W12" s="31">
        <v>5729876.0</v>
      </c>
      <c r="X12" s="31">
        <v>600000.0</v>
      </c>
      <c r="Y12" s="31">
        <f t="shared" si="1"/>
        <v>6329876</v>
      </c>
    </row>
    <row r="13" ht="22.5" customHeight="1">
      <c r="A13" s="19" t="s">
        <v>815</v>
      </c>
      <c r="B13" s="20" t="s">
        <v>190</v>
      </c>
      <c r="C13" s="21" t="str">
        <f>vlookup(B13,Sheet3!B:C,2,0)</f>
        <v>Dusun bringin RT02 RW01 Desa Karangwaluh kecamatan Sampung Kabupaten Ponorogo</v>
      </c>
      <c r="D13" s="22">
        <f>vlookup(B13,Sheet3!B:D,3,0)</f>
        <v>35012</v>
      </c>
      <c r="E13" s="20" t="str">
        <f>vlookup(B13,Sheet3!B:F,5,0)</f>
        <v>Ponorogo</v>
      </c>
      <c r="F13" s="20" t="str">
        <f>vlookup(B13,Sheet3!B:H,7,0)</f>
        <v>SLTA</v>
      </c>
      <c r="G13" s="23" t="str">
        <f>vlookup(B13,Sheet3!B:I,8,0)</f>
        <v>082141638390</v>
      </c>
      <c r="H13" s="23" t="str">
        <f>vlookup(B13,Sheet3!B:J,9,0)</f>
        <v>ayumamay09@gmail.com</v>
      </c>
      <c r="I13" s="24" t="s">
        <v>455</v>
      </c>
      <c r="J13" s="23" t="str">
        <f>vlookup(B13,Sheet2!B:D,3,0)</f>
        <v>CV SAMI JAYA</v>
      </c>
      <c r="K13" s="23" t="str">
        <f>vlookup(A13,Sheet2!A:E,5,0)</f>
        <v>PONOROGO</v>
      </c>
      <c r="L13" s="25">
        <f>VLOOKUP(B13,Sheet3!B:L,11,0)</f>
        <v>2891046822</v>
      </c>
      <c r="M13" s="32">
        <v>46015.0</v>
      </c>
      <c r="N13" s="26">
        <v>46266.0</v>
      </c>
      <c r="O13" s="32">
        <v>46265.0</v>
      </c>
      <c r="P13" s="23" t="str">
        <f>VLOOKUP(A13,Sheet2!A:F,6,0)</f>
        <v>SURABAYA</v>
      </c>
      <c r="Q13" s="24" t="s">
        <v>501</v>
      </c>
      <c r="R13" s="27" t="s">
        <v>505</v>
      </c>
      <c r="S13" s="28">
        <v>2550000.0</v>
      </c>
      <c r="T13" s="29">
        <v>1785000.0</v>
      </c>
      <c r="U13" s="30">
        <v>765000.0</v>
      </c>
      <c r="V13" s="23"/>
      <c r="W13" s="31">
        <v>2549876.0</v>
      </c>
      <c r="X13" s="31">
        <v>0.0</v>
      </c>
      <c r="Y13" s="31">
        <f t="shared" si="1"/>
        <v>2549876</v>
      </c>
    </row>
    <row r="14" ht="22.5" customHeight="1">
      <c r="A14" s="19" t="s">
        <v>820</v>
      </c>
      <c r="B14" s="20" t="s">
        <v>213</v>
      </c>
      <c r="C14" s="21" t="str">
        <f>vlookup(B14,Sheet3!B:C,2,0)</f>
        <v>PONDOK BENOWO INDAH BO 14 SURABAYA</v>
      </c>
      <c r="D14" s="22">
        <f>vlookup(B14,Sheet3!B:D,3,0)</f>
        <v>35663</v>
      </c>
      <c r="E14" s="20" t="str">
        <f>vlookup(B14,Sheet3!B:F,5,0)</f>
        <v>SURABAYA</v>
      </c>
      <c r="F14" s="20" t="str">
        <f>vlookup(B14,Sheet3!B:H,7,0)</f>
        <v>S1</v>
      </c>
      <c r="G14" s="23" t="str">
        <f>vlookup(B14,Sheet3!B:I,8,0)</f>
        <v>081283148912</v>
      </c>
      <c r="H14" s="23" t="str">
        <f>vlookup(B14,Sheet3!B:J,9,0)</f>
        <v>bagusdwiar@gmail.com</v>
      </c>
      <c r="I14" s="24" t="s">
        <v>1414</v>
      </c>
      <c r="J14" s="23" t="str">
        <f>vlookup(B14,Sheet2!B:D,3,0)</f>
        <v>HARTONO BUKIT DARMO</v>
      </c>
      <c r="K14" s="23" t="str">
        <f>vlookup(A14,Sheet2!A:E,5,0)</f>
        <v>SURABAYA</v>
      </c>
      <c r="L14" s="25">
        <f>VLOOKUP(B14,Sheet3!B:L,11,0)</f>
        <v>2582405442</v>
      </c>
      <c r="M14" s="32">
        <v>46047.0</v>
      </c>
      <c r="N14" s="26">
        <v>46266.0</v>
      </c>
      <c r="O14" s="32">
        <v>46265.0</v>
      </c>
      <c r="P14" s="23" t="str">
        <f>VLOOKUP(A14,Sheet2!A:F,6,0)</f>
        <v>SURABAYA</v>
      </c>
      <c r="Q14" s="24" t="s">
        <v>501</v>
      </c>
      <c r="R14" s="27" t="s">
        <v>632</v>
      </c>
      <c r="S14" s="28">
        <v>5289000.0</v>
      </c>
      <c r="T14" s="29">
        <v>5289000.0</v>
      </c>
      <c r="U14" s="33"/>
      <c r="V14" s="23"/>
      <c r="W14" s="31">
        <v>5288796.0</v>
      </c>
      <c r="X14" s="31">
        <v>0.0</v>
      </c>
      <c r="Y14" s="31">
        <f t="shared" si="1"/>
        <v>5288796</v>
      </c>
    </row>
    <row r="15" ht="22.5" customHeight="1">
      <c r="A15" s="19" t="s">
        <v>822</v>
      </c>
      <c r="B15" s="20" t="s">
        <v>274</v>
      </c>
      <c r="C15" s="21" t="str">
        <f>vlookup(B15,Sheet3!B:C,2,0)</f>
        <v>pandak rt 04 rw 02 jatipandak sambeng</v>
      </c>
      <c r="D15" s="22">
        <f>vlookup(B15,Sheet3!B:D,3,0)</f>
        <v>38044</v>
      </c>
      <c r="E15" s="20" t="str">
        <f>vlookup(B15,Sheet3!B:F,5,0)</f>
        <v>sidoarjo</v>
      </c>
      <c r="F15" s="20" t="str">
        <f>vlookup(B15,Sheet3!B:H,7,0)</f>
        <v>SLTA</v>
      </c>
      <c r="G15" s="23" t="str">
        <f>vlookup(B15,Sheet3!B:I,8,0)</f>
        <v>089514649794</v>
      </c>
      <c r="H15" s="23" t="str">
        <f>vlookup(B15,Sheet3!B:J,9,0)</f>
        <v>balqisayudia123@gmail.com</v>
      </c>
      <c r="I15" s="24" t="s">
        <v>1414</v>
      </c>
      <c r="J15" s="23" t="str">
        <f>vlookup(B15,Sheet2!B:D,3,0)</f>
        <v>HARTONO BUKIT DARMO</v>
      </c>
      <c r="K15" s="23" t="str">
        <f>vlookup(A15,Sheet2!A:E,5,0)</f>
        <v>SURABAYA</v>
      </c>
      <c r="L15" s="25">
        <f>VLOOKUP(B15,Sheet3!B:L,11,0)</f>
        <v>5065480881</v>
      </c>
      <c r="M15" s="32"/>
      <c r="N15" s="32"/>
      <c r="O15" s="32"/>
      <c r="P15" s="23" t="str">
        <f>VLOOKUP(A15,Sheet2!A:F,6,0)</f>
        <v>SURABAYA</v>
      </c>
      <c r="Q15" s="24" t="s">
        <v>1428</v>
      </c>
      <c r="R15" s="27" t="s">
        <v>632</v>
      </c>
      <c r="S15" s="28">
        <v>5289000.0</v>
      </c>
      <c r="T15" s="29">
        <v>5289000.0</v>
      </c>
      <c r="U15" s="33"/>
      <c r="V15" s="23"/>
      <c r="W15" s="31"/>
      <c r="X15" s="31"/>
      <c r="Y15" s="65"/>
    </row>
    <row r="16" ht="22.5" customHeight="1">
      <c r="A16" s="19" t="s">
        <v>825</v>
      </c>
      <c r="B16" s="20" t="s">
        <v>280</v>
      </c>
      <c r="C16" s="21" t="str">
        <f>vlookup(B16,Sheet3!B:C,2,0)</f>
        <v>Dusun 1 Kasimbar Tengah Desa Kasimbar Kecamatan Kasimbar</v>
      </c>
      <c r="D16" s="22">
        <f>vlookup(B16,Sheet3!B:D,3,0)</f>
        <v>36429</v>
      </c>
      <c r="E16" s="20" t="str">
        <f>vlookup(B16,Sheet3!B:F,5,0)</f>
        <v>Parigi</v>
      </c>
      <c r="F16" s="20" t="str">
        <f>vlookup(B16,Sheet3!B:H,7,0)</f>
        <v>SLTA</v>
      </c>
      <c r="G16" s="23" t="str">
        <f>vlookup(B16,Sheet3!B:I,8,0)</f>
        <v>085298512206</v>
      </c>
      <c r="H16" s="23" t="str">
        <f>vlookup(B16,Sheet3!B:J,9,0)</f>
        <v>chamidaananda@gmail.com</v>
      </c>
      <c r="I16" s="24" t="s">
        <v>455</v>
      </c>
      <c r="J16" s="23" t="str">
        <f>vlookup(B16,Sheet2!B:D,3,0)</f>
        <v>SMART KITCHEN</v>
      </c>
      <c r="K16" s="23" t="str">
        <f>vlookup(A16,Sheet2!A:E,5,0)</f>
        <v>PALU</v>
      </c>
      <c r="L16" s="25"/>
      <c r="M16" s="32">
        <v>46240.0</v>
      </c>
      <c r="N16" s="26">
        <v>46266.0</v>
      </c>
      <c r="O16" s="32">
        <v>46265.0</v>
      </c>
      <c r="P16" s="23" t="str">
        <f>VLOOKUP(A16,Sheet2!A:F,6,0)</f>
        <v>MAKASSAR</v>
      </c>
      <c r="Q16" s="24" t="s">
        <v>501</v>
      </c>
      <c r="R16" s="27" t="s">
        <v>505</v>
      </c>
      <c r="S16" s="28">
        <v>4149000.0</v>
      </c>
      <c r="T16" s="29">
        <v>2904300.0</v>
      </c>
      <c r="U16" s="30">
        <v>1244700.0</v>
      </c>
      <c r="V16" s="23"/>
      <c r="W16" s="31">
        <v>4148179.0</v>
      </c>
      <c r="X16" s="31">
        <v>0.0</v>
      </c>
      <c r="Y16" s="31">
        <f t="shared" ref="Y16:Y24" si="2">W16+X16</f>
        <v>4148179</v>
      </c>
    </row>
    <row r="17" ht="22.5" customHeight="1">
      <c r="A17" s="19" t="s">
        <v>828</v>
      </c>
      <c r="B17" s="20" t="s">
        <v>152</v>
      </c>
      <c r="C17" s="21" t="str">
        <f>vlookup(B17,Sheet3!B:C,2,0)</f>
        <v>DUSUN TERATAI INDAH</v>
      </c>
      <c r="D17" s="22">
        <f>vlookup(B17,Sheet3!B:D,3,0)</f>
        <v>34794</v>
      </c>
      <c r="E17" s="20" t="str">
        <f>vlookup(B17,Sheet3!B:F,5,0)</f>
        <v>KETAPANG </v>
      </c>
      <c r="F17" s="20" t="str">
        <f>vlookup(B17,Sheet3!B:H,7,0)</f>
        <v>SLTA</v>
      </c>
      <c r="G17" s="23" t="str">
        <f>vlookup(B17,Sheet3!B:I,8,0)</f>
        <v>085651034052</v>
      </c>
      <c r="H17" s="23" t="str">
        <f>vlookup(B17,Sheet3!B:J,9,0)</f>
        <v>cs5657394@gmail.com</v>
      </c>
      <c r="I17" s="24" t="s">
        <v>455</v>
      </c>
      <c r="J17" s="23" t="str">
        <f>vlookup(B17,Sheet2!B:D,3,0)</f>
        <v>TOKO PUTRA ELEKTRONIK</v>
      </c>
      <c r="K17" s="23" t="str">
        <f>vlookup(A17,Sheet2!A:E,5,0)</f>
        <v>PONTIANAK</v>
      </c>
      <c r="L17" s="25">
        <f>VLOOKUP(B17,Sheet3!B:L,11,0)</f>
        <v>1711654599</v>
      </c>
      <c r="M17" s="32">
        <v>45845.0</v>
      </c>
      <c r="N17" s="26">
        <v>46266.0</v>
      </c>
      <c r="O17" s="32">
        <v>46265.0</v>
      </c>
      <c r="P17" s="23" t="str">
        <f>VLOOKUP(A17,Sheet2!A:F,6,0)</f>
        <v>PONTIANAK</v>
      </c>
      <c r="Q17" s="24" t="s">
        <v>501</v>
      </c>
      <c r="R17" s="27" t="s">
        <v>505</v>
      </c>
      <c r="S17" s="28">
        <v>3206000.0</v>
      </c>
      <c r="T17" s="29">
        <v>2244200.0</v>
      </c>
      <c r="U17" s="30">
        <v>961800.0</v>
      </c>
      <c r="V17" s="23"/>
      <c r="W17" s="31">
        <v>3205220.0</v>
      </c>
      <c r="X17" s="31">
        <v>0.0</v>
      </c>
      <c r="Y17" s="31">
        <f t="shared" si="2"/>
        <v>3205220</v>
      </c>
    </row>
    <row r="18" ht="22.5" customHeight="1">
      <c r="A18" s="19" t="s">
        <v>831</v>
      </c>
      <c r="B18" s="20" t="s">
        <v>376</v>
      </c>
      <c r="C18" s="21" t="str">
        <f>vlookup(B18,Sheet3!B:C,2,0)</f>
        <v>KARANGPUTIH TLOGO PRAMBANAN KLATEN RT 009 RW 006</v>
      </c>
      <c r="D18" s="22">
        <f>vlookup(B18,Sheet3!B:D,3,0)</f>
        <v>35980</v>
      </c>
      <c r="E18" s="20" t="str">
        <f>vlookup(B18,Sheet3!B:F,5,0)</f>
        <v>KLATEN</v>
      </c>
      <c r="F18" s="20" t="str">
        <f>vlookup(B18,Sheet3!B:H,7,0)</f>
        <v>SLTA</v>
      </c>
      <c r="G18" s="23" t="str">
        <f>vlookup(B18,Sheet3!B:I,8,0)</f>
        <v>085174367440</v>
      </c>
      <c r="H18" s="23" t="str">
        <f>vlookup(B18,Sheet3!B:J,9,0)</f>
        <v>christianadwijayanti78@gmail.com</v>
      </c>
      <c r="I18" s="24" t="s">
        <v>455</v>
      </c>
      <c r="J18" s="23" t="str">
        <f>vlookup(B18,Sheet2!B:D,3,0)</f>
        <v>A TAKRIB LIFE STYLE</v>
      </c>
      <c r="K18" s="23" t="str">
        <f>vlookup(A18,Sheet2!A:E,5,0)</f>
        <v>YOGYAKARTA</v>
      </c>
      <c r="L18" s="25" t="str">
        <f>VLOOKUP(B18,Sheet3!B:L,11,0)</f>
        <v>0601290102</v>
      </c>
      <c r="M18" s="32">
        <v>45627.0</v>
      </c>
      <c r="N18" s="26">
        <v>46266.0</v>
      </c>
      <c r="O18" s="32">
        <v>46265.0</v>
      </c>
      <c r="P18" s="23" t="str">
        <f>VLOOKUP(A18,Sheet2!A:F,6,0)</f>
        <v>SEMARANG</v>
      </c>
      <c r="Q18" s="24" t="s">
        <v>501</v>
      </c>
      <c r="R18" s="27" t="s">
        <v>505</v>
      </c>
      <c r="S18" s="28">
        <v>2828000.0</v>
      </c>
      <c r="T18" s="29">
        <v>1979600.0</v>
      </c>
      <c r="U18" s="30">
        <v>848400.0</v>
      </c>
      <c r="V18" s="23"/>
      <c r="W18" s="31">
        <v>2827593.0</v>
      </c>
      <c r="X18" s="31">
        <v>0.0</v>
      </c>
      <c r="Y18" s="31">
        <f t="shared" si="2"/>
        <v>2827593</v>
      </c>
    </row>
    <row r="19" ht="22.5" customHeight="1">
      <c r="A19" s="19" t="s">
        <v>835</v>
      </c>
      <c r="B19" s="20" t="s">
        <v>135</v>
      </c>
      <c r="C19" s="21" t="str">
        <f>vlookup(B19,Sheet3!B:C,2,0)</f>
        <v>Dsn Dendelu. kel Tarobok. kec baebubta . luwu utara</v>
      </c>
      <c r="D19" s="22">
        <f>vlookup(B19,Sheet3!B:D,3,0)</f>
        <v>34354</v>
      </c>
      <c r="E19" s="20" t="str">
        <f>vlookup(B19,Sheet3!B:F,5,0)</f>
        <v>luwu utara</v>
      </c>
      <c r="F19" s="20" t="str">
        <f>vlookup(B19,Sheet3!B:H,7,0)</f>
        <v>SLTA</v>
      </c>
      <c r="G19" s="23" t="str">
        <f>vlookup(B19,Sheet3!B:I,8,0)</f>
        <v>089501607968</v>
      </c>
      <c r="H19" s="23" t="str">
        <f>vlookup(B19,Sheet3!B:J,9,0)</f>
        <v>salamdarulmito26@gmail.com</v>
      </c>
      <c r="I19" s="24" t="s">
        <v>455</v>
      </c>
      <c r="J19" s="23" t="str">
        <f>vlookup(B19,Sheet2!B:D,3,0)</f>
        <v>GRAND TOSERBA PENGAYOMAN</v>
      </c>
      <c r="K19" s="23" t="str">
        <f>vlookup(A19,Sheet2!A:E,5,0)</f>
        <v>MAKASSAR</v>
      </c>
      <c r="L19" s="25">
        <f>VLOOKUP(B19,Sheet3!B:L,11,0)</f>
        <v>7990187805</v>
      </c>
      <c r="M19" s="32">
        <v>45803.0</v>
      </c>
      <c r="N19" s="26">
        <v>46266.0</v>
      </c>
      <c r="O19" s="32">
        <v>46265.0</v>
      </c>
      <c r="P19" s="23" t="str">
        <f>VLOOKUP(A19,Sheet2!A:F,6,0)</f>
        <v>MAKASSAR</v>
      </c>
      <c r="Q19" s="24" t="s">
        <v>501</v>
      </c>
      <c r="R19" s="27" t="s">
        <v>505</v>
      </c>
      <c r="S19" s="28">
        <v>4149000.0</v>
      </c>
      <c r="T19" s="29">
        <v>2904300.0</v>
      </c>
      <c r="U19" s="30">
        <v>1244700.0</v>
      </c>
      <c r="V19" s="23"/>
      <c r="W19" s="31">
        <v>4148179.0</v>
      </c>
      <c r="X19" s="31">
        <v>0.0</v>
      </c>
      <c r="Y19" s="31">
        <f t="shared" si="2"/>
        <v>4148179</v>
      </c>
    </row>
    <row r="20" ht="22.5" customHeight="1">
      <c r="A20" s="19" t="s">
        <v>838</v>
      </c>
      <c r="B20" s="20" t="s">
        <v>210</v>
      </c>
      <c r="C20" s="21" t="str">
        <f>vlookup(B20,Sheet3!B:C,2,0)</f>
        <v>Jln Panyandaan rt 3 rw 07 Kel mandalamekar Kec Cimenyan Kab Bandung </v>
      </c>
      <c r="D20" s="22">
        <f>vlookup(B20,Sheet3!B:D,3,0)</f>
        <v>36862</v>
      </c>
      <c r="E20" s="20" t="str">
        <f>vlookup(B20,Sheet3!B:F,5,0)</f>
        <v>Bandung</v>
      </c>
      <c r="F20" s="20" t="str">
        <f>vlookup(B20,Sheet3!B:H,7,0)</f>
        <v>SLTA</v>
      </c>
      <c r="G20" s="23" t="str">
        <f>vlookup(B20,Sheet3!B:I,8,0)</f>
        <v>089670444004</v>
      </c>
      <c r="H20" s="23" t="str">
        <f>vlookup(B20,Sheet3!B:J,9,0)</f>
        <v>denilnndsh@gmail.com</v>
      </c>
      <c r="I20" s="24" t="s">
        <v>1414</v>
      </c>
      <c r="J20" s="23" t="str">
        <f>vlookup(B20,Sheet2!B:D,3,0)</f>
        <v>HARTONO BANDUNG</v>
      </c>
      <c r="K20" s="23" t="str">
        <f>vlookup(A20,Sheet2!A:E,5,0)</f>
        <v>BANDUNG</v>
      </c>
      <c r="L20" s="25">
        <f>VLOOKUP(B20,Sheet3!B:L,11,0)</f>
        <v>2832076288</v>
      </c>
      <c r="M20" s="32">
        <v>46036.0</v>
      </c>
      <c r="N20" s="26">
        <v>46266.0</v>
      </c>
      <c r="O20" s="32">
        <v>46265.0</v>
      </c>
      <c r="P20" s="23" t="str">
        <f>VLOOKUP(A20,Sheet2!A:F,6,0)</f>
        <v>BANDUNG</v>
      </c>
      <c r="Q20" s="24" t="s">
        <v>501</v>
      </c>
      <c r="R20" s="27" t="s">
        <v>632</v>
      </c>
      <c r="S20" s="28">
        <v>4738000.0</v>
      </c>
      <c r="T20" s="29">
        <v>4738000.0</v>
      </c>
      <c r="U20" s="33"/>
      <c r="V20" s="23"/>
      <c r="W20" s="31">
        <v>4737678.0</v>
      </c>
      <c r="X20" s="31">
        <v>0.0</v>
      </c>
      <c r="Y20" s="31">
        <f t="shared" si="2"/>
        <v>4737678</v>
      </c>
    </row>
    <row r="21" ht="22.5" customHeight="1">
      <c r="A21" s="19" t="s">
        <v>840</v>
      </c>
      <c r="B21" s="20" t="s">
        <v>187</v>
      </c>
      <c r="C21" s="21" t="str">
        <f>vlookup(B21,Sheet3!B:C,2,0)</f>
        <v>Jl Moh Roem</v>
      </c>
      <c r="D21" s="22">
        <f>vlookup(B21,Sheet3!B:D,3,0)</f>
        <v>34969</v>
      </c>
      <c r="E21" s="20" t="str">
        <f>vlookup(B21,Sheet3!B:F,5,0)</f>
        <v>Bontang</v>
      </c>
      <c r="F21" s="20" t="str">
        <f>vlookup(B21,Sheet3!B:H,7,0)</f>
        <v>SLTA</v>
      </c>
      <c r="G21" s="23" t="str">
        <f>vlookup(B21,Sheet3!B:I,8,0)</f>
        <v>08135054923</v>
      </c>
      <c r="H21" s="23" t="str">
        <f>vlookup(B21,Sheet3!B:J,9,0)</f>
        <v>Vira08359@gmail.com</v>
      </c>
      <c r="I21" s="24" t="s">
        <v>455</v>
      </c>
      <c r="J21" s="23" t="str">
        <f>vlookup(B21,Sheet2!B:D,3,0)</f>
        <v>PONDOK ELEKTRONIK BANJARBARU</v>
      </c>
      <c r="K21" s="23" t="str">
        <f>vlookup(A21,Sheet2!A:E,5,0)</f>
        <v>BANJARMASIN</v>
      </c>
      <c r="L21" s="25">
        <f>VLOOKUP(B21,Sheet3!B:L,11,0)</f>
        <v>6705117156</v>
      </c>
      <c r="M21" s="32">
        <v>46008.0</v>
      </c>
      <c r="N21" s="26">
        <v>46266.0</v>
      </c>
      <c r="O21" s="32">
        <v>46265.0</v>
      </c>
      <c r="P21" s="23" t="str">
        <f>VLOOKUP(A21,Sheet2!A:F,6,0)</f>
        <v>BANJARMASIN</v>
      </c>
      <c r="Q21" s="24" t="s">
        <v>501</v>
      </c>
      <c r="R21" s="27" t="s">
        <v>505</v>
      </c>
      <c r="S21" s="28">
        <v>3856000.0</v>
      </c>
      <c r="T21" s="29">
        <v>2699200.0</v>
      </c>
      <c r="U21" s="30">
        <v>1156800.0</v>
      </c>
      <c r="V21" s="23"/>
      <c r="W21" s="31">
        <v>3843037.0</v>
      </c>
      <c r="X21" s="31">
        <v>0.0</v>
      </c>
      <c r="Y21" s="31">
        <f t="shared" si="2"/>
        <v>3843037</v>
      </c>
    </row>
    <row r="22" ht="22.5" customHeight="1">
      <c r="A22" s="19" t="s">
        <v>842</v>
      </c>
      <c r="B22" s="20" t="s">
        <v>142</v>
      </c>
      <c r="C22" s="21" t="str">
        <f>vlookup(B22,Sheet3!B:C,2,0)</f>
        <v>Jl MINANGKABAU NO 101 RT 04 BATU AMPAR</v>
      </c>
      <c r="D22" s="22">
        <f>vlookup(B22,Sheet3!B:D,3,0)</f>
        <v>37134</v>
      </c>
      <c r="E22" s="20" t="str">
        <f>vlookup(B22,Sheet3!B:F,5,0)</f>
        <v>Balikpapan</v>
      </c>
      <c r="F22" s="20" t="str">
        <f>vlookup(B22,Sheet3!B:H,7,0)</f>
        <v>SLTA</v>
      </c>
      <c r="G22" s="23" t="str">
        <f>vlookup(B22,Sheet3!B:I,8,0)</f>
        <v>085656950939</v>
      </c>
      <c r="H22" s="23" t="str">
        <f>vlookup(B22,Sheet3!B:J,9,0)</f>
        <v>deviisvaradilla16@gmail.com</v>
      </c>
      <c r="I22" s="24" t="s">
        <v>455</v>
      </c>
      <c r="J22" s="23" t="str">
        <f>vlookup(B22,Sheet2!B:D,3,0)</f>
        <v>NUANSA BALIKPAPAN</v>
      </c>
      <c r="K22" s="23" t="str">
        <f>vlookup(A22,Sheet2!A:E,5,0)</f>
        <v>BALIKPAPAN</v>
      </c>
      <c r="L22" s="25">
        <f>VLOOKUP(B22,Sheet3!B:L,11,0)</f>
        <v>7810287131</v>
      </c>
      <c r="M22" s="32">
        <v>45824.0</v>
      </c>
      <c r="N22" s="26">
        <v>46266.0</v>
      </c>
      <c r="O22" s="32">
        <v>46265.0</v>
      </c>
      <c r="P22" s="23" t="str">
        <f>VLOOKUP(A22,Sheet2!A:F,6,0)</f>
        <v>SAMARINDA</v>
      </c>
      <c r="Q22" s="24" t="s">
        <v>501</v>
      </c>
      <c r="R22" s="27" t="s">
        <v>505</v>
      </c>
      <c r="S22" s="28">
        <v>3857000.0</v>
      </c>
      <c r="T22" s="29">
        <v>2699900.0</v>
      </c>
      <c r="U22" s="30">
        <v>1157100.0</v>
      </c>
      <c r="V22" s="23"/>
      <c r="W22" s="31">
        <v>3856694.0</v>
      </c>
      <c r="X22" s="31">
        <v>0.0</v>
      </c>
      <c r="Y22" s="31">
        <f t="shared" si="2"/>
        <v>3856694</v>
      </c>
    </row>
    <row r="23" ht="22.5" customHeight="1">
      <c r="A23" s="19" t="s">
        <v>845</v>
      </c>
      <c r="B23" s="20" t="s">
        <v>287</v>
      </c>
      <c r="C23" s="21" t="str">
        <f>vlookup(B23,Sheet3!B:C,2,0)</f>
        <v>PALEMBANG, PLAJU</v>
      </c>
      <c r="D23" s="22">
        <f>vlookup(B23,Sheet3!B:D,3,0)</f>
        <v>39415</v>
      </c>
      <c r="E23" s="20" t="str">
        <f>vlookup(B23,Sheet3!B:F,5,0)</f>
        <v>Palembang</v>
      </c>
      <c r="F23" s="20" t="str">
        <f>vlookup(B23,Sheet3!B:H,7,0)</f>
        <v>SLTA</v>
      </c>
      <c r="G23" s="23" t="str">
        <f>vlookup(B23,Sheet3!B:I,8,0)</f>
        <v>0895320866466</v>
      </c>
      <c r="H23" s="23" t="str">
        <f>vlookup(B23,Sheet3!B:J,9,0)</f>
        <v>pramudithadewi62@gmail.com</v>
      </c>
      <c r="I23" s="24" t="s">
        <v>455</v>
      </c>
      <c r="J23" s="23" t="str">
        <f>vlookup(B23,Sheet2!B:D,3,0)</f>
        <v>DAPOER MUTIARA (CV PELITA MAS)</v>
      </c>
      <c r="K23" s="23" t="str">
        <f>vlookup(A23,Sheet2!A:E,5,0)</f>
        <v>PALEMBANG</v>
      </c>
      <c r="L23" s="25">
        <f>VLOOKUP(B23,Sheet3!B:L,11,0)</f>
        <v>1160615202</v>
      </c>
      <c r="M23" s="32">
        <v>46256.0</v>
      </c>
      <c r="N23" s="26">
        <v>46266.0</v>
      </c>
      <c r="O23" s="32">
        <v>46265.0</v>
      </c>
      <c r="P23" s="23" t="str">
        <f>VLOOKUP(A23,Sheet2!A:F,6,0)</f>
        <v>PALEMBANG</v>
      </c>
      <c r="Q23" s="24" t="s">
        <v>501</v>
      </c>
      <c r="R23" s="27" t="s">
        <v>505</v>
      </c>
      <c r="S23" s="28">
        <v>4193000.0</v>
      </c>
      <c r="T23" s="29">
        <v>2935100.0</v>
      </c>
      <c r="U23" s="30">
        <v>1257900.0</v>
      </c>
      <c r="V23" s="23"/>
      <c r="W23" s="31">
        <v>4192837.0</v>
      </c>
      <c r="X23" s="31">
        <v>0.0</v>
      </c>
      <c r="Y23" s="31">
        <f t="shared" si="2"/>
        <v>4192837</v>
      </c>
    </row>
    <row r="24" ht="22.5" customHeight="1">
      <c r="A24" s="19" t="s">
        <v>849</v>
      </c>
      <c r="B24" s="20" t="s">
        <v>428</v>
      </c>
      <c r="C24" s="21" t="str">
        <f>vlookup(B24,Sheet3!B:C,2,0)</f>
        <v>Grecol, rt1 rw3 Kalimanah Kab purbalingga</v>
      </c>
      <c r="D24" s="22">
        <f>vlookup(B24,Sheet3!B:D,3,0)</f>
        <v>34432</v>
      </c>
      <c r="E24" s="20" t="str">
        <f>vlookup(B24,Sheet3!B:F,5,0)</f>
        <v>Banyumas</v>
      </c>
      <c r="F24" s="20" t="str">
        <f>vlookup(B24,Sheet3!B:H,7,0)</f>
        <v>SLTA</v>
      </c>
      <c r="G24" s="23" t="str">
        <f>vlookup(B24,Sheet3!B:I,8,0)</f>
        <v>081568400117</v>
      </c>
      <c r="H24" s="23" t="str">
        <f>vlookup(B24,Sheet3!B:J,9,0)</f>
        <v>caturdiah95@gmail.com</v>
      </c>
      <c r="I24" s="24" t="s">
        <v>455</v>
      </c>
      <c r="J24" s="23" t="str">
        <f>vlookup(B24,Sheet2!B:D,3,0)</f>
        <v>DEPO PELITA</v>
      </c>
      <c r="K24" s="19" t="s">
        <v>214</v>
      </c>
      <c r="L24" s="25">
        <f>VLOOKUP(B24,Sheet3!B:L,11,0)</f>
        <v>3581118790</v>
      </c>
      <c r="M24" s="32">
        <v>45714.0</v>
      </c>
      <c r="N24" s="26">
        <v>46266.0</v>
      </c>
      <c r="O24" s="32">
        <v>46265.0</v>
      </c>
      <c r="P24" s="23" t="str">
        <f>VLOOKUP(A24,Sheet2!A:F,6,0)</f>
        <v>SEMARANG</v>
      </c>
      <c r="Q24" s="24" t="s">
        <v>501</v>
      </c>
      <c r="R24" s="27" t="s">
        <v>505</v>
      </c>
      <c r="S24" s="28">
        <v>3702000.0</v>
      </c>
      <c r="T24" s="29">
        <v>2591400.0</v>
      </c>
      <c r="U24" s="30">
        <v>1110600.0</v>
      </c>
      <c r="V24" s="23"/>
      <c r="W24" s="31">
        <v>2474598.0</v>
      </c>
      <c r="X24" s="31">
        <v>0.0</v>
      </c>
      <c r="Y24" s="31">
        <f t="shared" si="2"/>
        <v>2474598</v>
      </c>
    </row>
    <row r="25" ht="22.5" customHeight="1">
      <c r="A25" s="19" t="s">
        <v>854</v>
      </c>
      <c r="B25" s="20" t="s">
        <v>855</v>
      </c>
      <c r="C25" s="21" t="str">
        <f>vlookup(B25,Sheet3!B:C,2,0)</f>
        <v>Dusun Ngabeyan,  Desa Nguwet, RT/Rw 002/002 Kecamatan Kranggan, Kabupaten Temanggung</v>
      </c>
      <c r="D25" s="22">
        <f>vlookup(B25,Sheet3!B:D,3,0)</f>
        <v>37094</v>
      </c>
      <c r="E25" s="20" t="str">
        <f>vlookup(B25,Sheet3!B:F,5,0)</f>
        <v>Temanggung</v>
      </c>
      <c r="F25" s="20" t="str">
        <f>vlookup(B25,Sheet3!B:H,7,0)</f>
        <v>S1</v>
      </c>
      <c r="G25" s="23" t="str">
        <f>vlookup(B25,Sheet3!B:I,8,0)</f>
        <v>085713753192</v>
      </c>
      <c r="H25" s="23" t="str">
        <f>vlookup(B25,Sheet3!B:J,9,0)</f>
        <v>setyadimas021@gmail.com</v>
      </c>
      <c r="I25" s="24" t="s">
        <v>455</v>
      </c>
      <c r="J25" s="23" t="str">
        <f>vlookup(B25,Sheet2!B:D,3,0)</f>
        <v>CANDI ELEKTRONIK</v>
      </c>
      <c r="K25" s="23" t="str">
        <f>vlookup(A25,Sheet2!A:E,5,0)</f>
        <v>SUKOHARJO</v>
      </c>
      <c r="L25" s="76">
        <v>1.541007488E9</v>
      </c>
      <c r="M25" s="32"/>
      <c r="N25" s="32"/>
      <c r="O25" s="32"/>
      <c r="P25" s="23" t="str">
        <f>VLOOKUP(A25,Sheet2!A:F,6,0)</f>
        <v>SEMARANG</v>
      </c>
      <c r="Q25" s="24" t="s">
        <v>501</v>
      </c>
      <c r="R25" s="27" t="s">
        <v>505</v>
      </c>
      <c r="S25" s="28">
        <v>2500000.0</v>
      </c>
      <c r="T25" s="29">
        <v>1750000.0</v>
      </c>
      <c r="U25" s="30">
        <v>750000.0</v>
      </c>
      <c r="V25" s="23"/>
      <c r="W25" s="31"/>
      <c r="X25" s="31"/>
      <c r="Y25" s="65"/>
    </row>
    <row r="26" ht="22.5" customHeight="1">
      <c r="A26" s="19" t="s">
        <v>859</v>
      </c>
      <c r="B26" s="20" t="s">
        <v>67</v>
      </c>
      <c r="C26" s="21" t="str">
        <f>vlookup(B26,Sheet3!B:C,2,0)</f>
        <v>kp. pangsor rt.08/10 sukamantri, paseh</v>
      </c>
      <c r="D26" s="22">
        <f>vlookup(B26,Sheet3!B:D,3,0)</f>
        <v>36483</v>
      </c>
      <c r="E26" s="20" t="str">
        <f>vlookup(B26,Sheet3!B:F,5,0)</f>
        <v>Bandung</v>
      </c>
      <c r="F26" s="20" t="str">
        <f>vlookup(B26,Sheet3!B:H,7,0)</f>
        <v>SLTA</v>
      </c>
      <c r="G26" s="23" t="str">
        <f>vlookup(B26,Sheet3!B:I,8,0)</f>
        <v>089659753361</v>
      </c>
      <c r="H26" s="23" t="str">
        <f>vlookup(B26,Sheet3!B:J,9,0)</f>
        <v>dindasrirahayu9@gmail.com</v>
      </c>
      <c r="I26" s="24" t="s">
        <v>455</v>
      </c>
      <c r="J26" s="23" t="str">
        <f>vlookup(B26,Sheet2!B:D,3,0)</f>
        <v>LOGIN MEGASTORE (ABC)</v>
      </c>
      <c r="K26" s="23" t="str">
        <f>vlookup(A26,Sheet2!A:E,5,0)</f>
        <v>BANDUNG</v>
      </c>
      <c r="L26" s="25">
        <f>VLOOKUP(B26,Sheet3!B:L,11,0)</f>
        <v>3760618135</v>
      </c>
      <c r="M26" s="32">
        <v>45576.0</v>
      </c>
      <c r="N26" s="26">
        <v>46266.0</v>
      </c>
      <c r="O26" s="32">
        <v>46265.0</v>
      </c>
      <c r="P26" s="23" t="str">
        <f>VLOOKUP(A26,Sheet2!A:F,6,0)</f>
        <v>BANDUNG</v>
      </c>
      <c r="Q26" s="24" t="s">
        <v>501</v>
      </c>
      <c r="R26" s="27" t="s">
        <v>505</v>
      </c>
      <c r="S26" s="28">
        <v>4738000.0</v>
      </c>
      <c r="T26" s="29">
        <v>3316600.0</v>
      </c>
      <c r="U26" s="30">
        <v>1421400.0</v>
      </c>
      <c r="V26" s="23"/>
      <c r="W26" s="31">
        <v>4737678.0</v>
      </c>
      <c r="X26" s="31">
        <v>0.0</v>
      </c>
      <c r="Y26" s="31">
        <f t="shared" ref="Y26:Y30" si="3">W26+X26</f>
        <v>4737678</v>
      </c>
    </row>
    <row r="27" ht="22.5" customHeight="1">
      <c r="A27" s="19" t="s">
        <v>862</v>
      </c>
      <c r="B27" s="20" t="s">
        <v>74</v>
      </c>
      <c r="C27" s="21" t="str">
        <f>vlookup(B27,Sheet3!B:C,2,0)</f>
        <v>JLN. MODANG GG.RUKUN</v>
      </c>
      <c r="D27" s="22">
        <f>vlookup(B27,Sheet3!B:D,3,0)</f>
        <v>37477</v>
      </c>
      <c r="E27" s="20" t="str">
        <f>vlookup(B27,Sheet3!B:F,5,0)</f>
        <v>MOJOKERTO</v>
      </c>
      <c r="F27" s="20" t="str">
        <f>vlookup(B27,Sheet3!B:H,7,0)</f>
        <v>SLTA</v>
      </c>
      <c r="G27" s="23" t="str">
        <f>vlookup(B27,Sheet3!B:I,8,0)</f>
        <v>082358812078</v>
      </c>
      <c r="H27" s="23" t="str">
        <f>vlookup(B27,Sheet3!B:J,9,0)</f>
        <v>elasiska01@gmail.com</v>
      </c>
      <c r="I27" s="24" t="s">
        <v>455</v>
      </c>
      <c r="J27" s="23" t="str">
        <f>vlookup(B27,Sheet2!B:D,3,0)</f>
        <v>NUANSA ELEKTRONIC TANAH GROGOT</v>
      </c>
      <c r="K27" s="23" t="str">
        <f>vlookup(A27,Sheet2!A:E,5,0)</f>
        <v>PASER</v>
      </c>
      <c r="L27" s="25">
        <f>VLOOKUP(B27,Sheet3!B:L,11,0)</f>
        <v>7815831241</v>
      </c>
      <c r="M27" s="32">
        <v>45647.0</v>
      </c>
      <c r="N27" s="26">
        <v>46266.0</v>
      </c>
      <c r="O27" s="32">
        <v>46265.0</v>
      </c>
      <c r="P27" s="23" t="str">
        <f>VLOOKUP(A27,Sheet2!A:F,6,0)</f>
        <v>SAMARINDA</v>
      </c>
      <c r="Q27" s="24" t="s">
        <v>501</v>
      </c>
      <c r="R27" s="27" t="s">
        <v>505</v>
      </c>
      <c r="S27" s="28">
        <v>3777000.0</v>
      </c>
      <c r="T27" s="29">
        <v>2643900.0</v>
      </c>
      <c r="U27" s="30">
        <v>1133100.0</v>
      </c>
      <c r="V27" s="23"/>
      <c r="W27" s="31">
        <v>3776998.0</v>
      </c>
      <c r="X27" s="31">
        <v>0.0</v>
      </c>
      <c r="Y27" s="31">
        <f t="shared" si="3"/>
        <v>3776998</v>
      </c>
    </row>
    <row r="28" ht="22.5" customHeight="1">
      <c r="A28" s="19" t="s">
        <v>865</v>
      </c>
      <c r="B28" s="20" t="s">
        <v>35</v>
      </c>
      <c r="C28" s="21" t="str">
        <f>vlookup(B28,Sheet3!B:C,2,0)</f>
        <v>Margorejo 2G nomer 32</v>
      </c>
      <c r="D28" s="22">
        <f>vlookup(B28,Sheet3!B:D,3,0)</f>
        <v>35132</v>
      </c>
      <c r="E28" s="20" t="str">
        <f>vlookup(B28,Sheet3!B:F,5,0)</f>
        <v>Surabaya</v>
      </c>
      <c r="F28" s="20" t="str">
        <f>vlookup(B28,Sheet3!B:H,7,0)</f>
        <v>SLTA</v>
      </c>
      <c r="G28" s="23" t="str">
        <f>vlookup(B28,Sheet3!B:I,8,0)</f>
        <v>089686949505</v>
      </c>
      <c r="H28" s="23" t="str">
        <f>vlookup(B28,Sheet3!B:J,9,0)</f>
        <v>zolla041123@gmail.com</v>
      </c>
      <c r="I28" s="24" t="s">
        <v>455</v>
      </c>
      <c r="J28" s="23" t="str">
        <f>vlookup(B28,Sheet2!B:D,3,0)</f>
        <v>TOENG MARKET JAKSA AGUNG SUPRAPTO</v>
      </c>
      <c r="K28" s="23" t="str">
        <f>vlookup(A28,Sheet2!A:E,5,0)</f>
        <v>SURABAYA</v>
      </c>
      <c r="L28" s="25">
        <f>VLOOKUP(B28,Sheet3!B:L,11,0)</f>
        <v>5600289308</v>
      </c>
      <c r="M28" s="32">
        <v>44077.0</v>
      </c>
      <c r="N28" s="26">
        <v>46266.0</v>
      </c>
      <c r="O28" s="32">
        <v>46265.0</v>
      </c>
      <c r="P28" s="23" t="str">
        <f>VLOOKUP(A28,Sheet2!A:F,6,0)</f>
        <v>SURABAYA</v>
      </c>
      <c r="Q28" s="24" t="s">
        <v>501</v>
      </c>
      <c r="R28" s="27" t="s">
        <v>505</v>
      </c>
      <c r="S28" s="28">
        <v>5289000.0</v>
      </c>
      <c r="T28" s="29">
        <v>3702300.0</v>
      </c>
      <c r="U28" s="30">
        <v>1586700.0</v>
      </c>
      <c r="V28" s="23"/>
      <c r="W28" s="31">
        <v>5288796.0</v>
      </c>
      <c r="X28" s="31">
        <v>0.0</v>
      </c>
      <c r="Y28" s="31">
        <f t="shared" si="3"/>
        <v>5288796</v>
      </c>
    </row>
    <row r="29" ht="22.5" customHeight="1">
      <c r="A29" s="19" t="s">
        <v>869</v>
      </c>
      <c r="B29" s="20" t="s">
        <v>870</v>
      </c>
      <c r="C29" s="21" t="str">
        <f>vlookup(B29,Sheet3!B:C,2,0)</f>
        <v>Dusun Meno, rt003/rw004  Desa Rhee Loka Kecamatan Rhee Kabupaten Sumbawa</v>
      </c>
      <c r="D29" s="22">
        <f>vlookup(B29,Sheet3!B:D,3,0)</f>
        <v>35751</v>
      </c>
      <c r="E29" s="20" t="str">
        <f>vlookup(B29,Sheet3!B:F,5,0)</f>
        <v>Sumbawa</v>
      </c>
      <c r="F29" s="20" t="str">
        <f>vlookup(B29,Sheet3!B:H,7,0)</f>
        <v>S1</v>
      </c>
      <c r="G29" s="23" t="str">
        <f>vlookup(B29,Sheet3!B:I,8,0)</f>
        <v>087865850309</v>
      </c>
      <c r="H29" s="23" t="str">
        <f>vlookup(B29,Sheet3!B:J,9,0)</f>
        <v>elisabethayu1997@gmail.com</v>
      </c>
      <c r="I29" s="24" t="s">
        <v>455</v>
      </c>
      <c r="J29" s="23" t="str">
        <f>vlookup(B29,Sheet2!B:D,3,0)</f>
        <v>TOKO JAYA KITCHEN LOMBOK</v>
      </c>
      <c r="K29" s="23" t="str">
        <f>vlookup(A29,Sheet2!A:E,5,0)</f>
        <v>MATARAM</v>
      </c>
      <c r="L29" s="25" t="str">
        <f>VLOOKUP(B29,Sheet3!B:L,11,0)</f>
        <v>0562190331</v>
      </c>
      <c r="M29" s="32">
        <f>vlookup(B29,'data staffinc_3'!B:I,7,0)</f>
        <v>45920</v>
      </c>
      <c r="N29" s="26">
        <v>46266.0</v>
      </c>
      <c r="O29" s="32">
        <f>vlookup(B29,'data staffinc_3'!B:I,8,0)</f>
        <v>46265</v>
      </c>
      <c r="P29" s="23" t="str">
        <f>VLOOKUP(A29,Sheet2!A:F,6,0)</f>
        <v>SURABAYA</v>
      </c>
      <c r="Q29" s="24" t="s">
        <v>501</v>
      </c>
      <c r="R29" s="27" t="s">
        <v>632</v>
      </c>
      <c r="S29" s="28"/>
      <c r="T29" s="29">
        <v>3020000.0</v>
      </c>
      <c r="U29" s="33"/>
      <c r="V29" s="23"/>
      <c r="W29" s="31">
        <v>3019015.0</v>
      </c>
      <c r="X29" s="31">
        <v>0.0</v>
      </c>
      <c r="Y29" s="31">
        <f t="shared" si="3"/>
        <v>3019015</v>
      </c>
    </row>
    <row r="30" ht="22.5" customHeight="1">
      <c r="A30" s="19" t="s">
        <v>875</v>
      </c>
      <c r="B30" s="20" t="s">
        <v>242</v>
      </c>
      <c r="C30" s="21" t="str">
        <f>vlookup(B30,Sheet3!B:C,2,0)</f>
        <v>Dusun Danau Kuala Selakau</v>
      </c>
      <c r="D30" s="22">
        <f>vlookup(B30,Sheet3!B:D,3,0)</f>
        <v>37747</v>
      </c>
      <c r="E30" s="20" t="str">
        <f>vlookup(B30,Sheet3!B:F,5,0)</f>
        <v>Selakau , Kalimantan barat Kabupaten Sambas</v>
      </c>
      <c r="F30" s="20" t="str">
        <f>vlookup(B30,Sheet3!B:H,7,0)</f>
        <v>SLTA</v>
      </c>
      <c r="G30" s="23" t="str">
        <f>vlookup(B30,Sheet3!B:I,8,0)</f>
        <v>085656271235</v>
      </c>
      <c r="H30" s="23" t="str">
        <f>vlookup(B30,Sheet3!B:J,9,0)</f>
        <v>adelaeza021@gmail.com</v>
      </c>
      <c r="I30" s="24" t="s">
        <v>455</v>
      </c>
      <c r="J30" s="23" t="str">
        <f>vlookup(B30,Sheet2!B:D,3,0)</f>
        <v>HIBURAN BARU SINGKAWANG</v>
      </c>
      <c r="K30" s="23" t="str">
        <f>vlookup(A30,Sheet2!A:E,5,0)</f>
        <v>PONTIANAK</v>
      </c>
      <c r="L30" s="25">
        <f>VLOOKUP(B30,Sheet3!B:L,11,0)</f>
        <v>8171876893</v>
      </c>
      <c r="M30" s="32">
        <v>46119.0</v>
      </c>
      <c r="N30" s="26">
        <v>46266.0</v>
      </c>
      <c r="O30" s="32">
        <v>46265.0</v>
      </c>
      <c r="P30" s="23" t="str">
        <f>VLOOKUP(A30,Sheet2!A:F,6,0)</f>
        <v>PONTIANAK</v>
      </c>
      <c r="Q30" s="24" t="s">
        <v>501</v>
      </c>
      <c r="R30" s="27" t="s">
        <v>505</v>
      </c>
      <c r="S30" s="28">
        <v>3248000.0</v>
      </c>
      <c r="T30" s="29">
        <v>2273600.0</v>
      </c>
      <c r="U30" s="30">
        <v>974400.0</v>
      </c>
      <c r="V30" s="23"/>
      <c r="W30" s="31">
        <v>3247387.0</v>
      </c>
      <c r="X30" s="31">
        <v>0.0</v>
      </c>
      <c r="Y30" s="31">
        <f t="shared" si="3"/>
        <v>3247387</v>
      </c>
    </row>
    <row r="31" ht="22.5" customHeight="1">
      <c r="A31" s="19" t="s">
        <v>878</v>
      </c>
      <c r="B31" s="20" t="s">
        <v>879</v>
      </c>
      <c r="C31" s="21" t="str">
        <f>vlookup(B31,Sheet3!B:C,2,0)</f>
        <v>Sangkrah RT 2 RW 11 kelurahan Sangkrah kecamatan pasar Kliwon Surakarta Jawa tengah</v>
      </c>
      <c r="D31" s="22">
        <f>vlookup(B31,Sheet3!B:D,3,0)</f>
        <v>36788</v>
      </c>
      <c r="E31" s="20" t="str">
        <f>vlookup(B31,Sheet3!B:F,5,0)</f>
        <v>Surakarta </v>
      </c>
      <c r="F31" s="20" t="str">
        <f>vlookup(B31,Sheet3!B:H,7,0)</f>
        <v>SLTA</v>
      </c>
      <c r="G31" s="23" t="str">
        <f>vlookup(B31,Sheet3!B:I,8,0)</f>
        <v>085725663034</v>
      </c>
      <c r="H31" s="23" t="str">
        <f>vlookup(B31,Sheet3!B:J,9,0)</f>
        <v>fadhilaarh19@gmail.com</v>
      </c>
      <c r="I31" s="24" t="s">
        <v>455</v>
      </c>
      <c r="J31" s="23" t="str">
        <f>vlookup(B31,Sheet2!B:D,3,0)</f>
        <v>CANDI ELEKTRONIC 310</v>
      </c>
      <c r="K31" s="23" t="str">
        <f>vlookup(A31,Sheet2!A:E,5,0)</f>
        <v>SEMARANG</v>
      </c>
      <c r="L31" s="25">
        <f>VLOOKUP(B31,Sheet3!B:L,11,0)</f>
        <v>1530616408</v>
      </c>
      <c r="M31" s="32"/>
      <c r="N31" s="32"/>
      <c r="O31" s="32"/>
      <c r="P31" s="23" t="str">
        <f>VLOOKUP(A31,Sheet2!A:F,6,0)</f>
        <v>SEMARANG</v>
      </c>
      <c r="Q31" s="24" t="s">
        <v>501</v>
      </c>
      <c r="R31" s="27" t="s">
        <v>505</v>
      </c>
      <c r="S31" s="28">
        <v>3702000.0</v>
      </c>
      <c r="T31" s="29">
        <v>2591400.0</v>
      </c>
      <c r="U31" s="30">
        <v>1110600.0</v>
      </c>
      <c r="V31" s="23"/>
      <c r="W31" s="31"/>
      <c r="X31" s="31"/>
      <c r="Y31" s="65"/>
    </row>
    <row r="32" ht="22.5" customHeight="1">
      <c r="A32" s="19" t="s">
        <v>881</v>
      </c>
      <c r="B32" s="20" t="s">
        <v>85</v>
      </c>
      <c r="C32" s="21" t="str">
        <f>vlookup(B32,Sheet3!B:C,2,0)</f>
        <v>Kalibata Selatan no 41, RT 002 RW 009 Kelurahan Kalibata Kecamatan Pancoran Jakarta Selatan 12740</v>
      </c>
      <c r="D32" s="22">
        <f>vlookup(B32,Sheet3!B:D,3,0)</f>
        <v>34895</v>
      </c>
      <c r="E32" s="20" t="str">
        <f>vlookup(B32,Sheet3!B:F,5,0)</f>
        <v>Jakarta </v>
      </c>
      <c r="F32" s="20" t="str">
        <f>vlookup(B32,Sheet3!B:H,7,0)</f>
        <v>S1</v>
      </c>
      <c r="G32" s="23" t="str">
        <f>vlookup(B32,Sheet3!B:I,8,0)</f>
        <v>087851843056</v>
      </c>
      <c r="H32" s="23" t="str">
        <f>vlookup(B32,Sheet3!B:J,9,0)</f>
        <v>ezaenii@gmail.com</v>
      </c>
      <c r="I32" s="24" t="s">
        <v>455</v>
      </c>
      <c r="J32" s="23" t="str">
        <f>vlookup(B32,Sheet2!B:D,3,0)</f>
        <v>SPN HOUSEWARE</v>
      </c>
      <c r="K32" s="23" t="str">
        <f>vlookup(A32,Sheet2!A:E,5,0)</f>
        <v>JAKARTA</v>
      </c>
      <c r="L32" s="25">
        <f>VLOOKUP(B32,Sheet3!B:L,11,0)</f>
        <v>1280346540</v>
      </c>
      <c r="M32" s="32">
        <v>45712.0</v>
      </c>
      <c r="N32" s="26">
        <v>46266.0</v>
      </c>
      <c r="O32" s="32">
        <v>46265.0</v>
      </c>
      <c r="P32" s="23" t="str">
        <f>VLOOKUP(A32,Sheet2!A:F,6,0)</f>
        <v>JAKARTA</v>
      </c>
      <c r="Q32" s="24" t="s">
        <v>501</v>
      </c>
      <c r="R32" s="27" t="s">
        <v>505</v>
      </c>
      <c r="S32" s="28">
        <v>5730000.0</v>
      </c>
      <c r="T32" s="29">
        <v>4011000.0</v>
      </c>
      <c r="U32" s="30">
        <v>1719000.0</v>
      </c>
      <c r="V32" s="23"/>
      <c r="W32" s="31">
        <v>5729876.0</v>
      </c>
      <c r="X32" s="31">
        <v>0.0</v>
      </c>
      <c r="Y32" s="31">
        <f t="shared" ref="Y32:Y43" si="4">W32+X32</f>
        <v>5729876</v>
      </c>
    </row>
    <row r="33" ht="22.5" customHeight="1">
      <c r="A33" s="19" t="s">
        <v>883</v>
      </c>
      <c r="B33" s="20" t="s">
        <v>53</v>
      </c>
      <c r="C33" s="21" t="str">
        <f>vlookup(B33,Sheet3!B:C,2,0)</f>
        <v>DSN. PULE UTARA RT:002/RW:001 PULE, KANDAT</v>
      </c>
      <c r="D33" s="22">
        <f>vlookup(B33,Sheet3!B:D,3,0)</f>
        <v>34597</v>
      </c>
      <c r="E33" s="20" t="str">
        <f>vlookup(B33,Sheet3!B:F,5,0)</f>
        <v>KEDIRI</v>
      </c>
      <c r="F33" s="20" t="str">
        <f>vlookup(B33,Sheet3!B:H,7,0)</f>
        <v>SLTA</v>
      </c>
      <c r="G33" s="23" t="str">
        <f>vlookup(B33,Sheet3!B:I,8,0)</f>
        <v>085748348360</v>
      </c>
      <c r="H33" s="23" t="str">
        <f>vlookup(B33,Sheet3!B:J,9,0)</f>
        <v>faisol.adha03@gmail.com</v>
      </c>
      <c r="I33" s="24" t="s">
        <v>600</v>
      </c>
      <c r="J33" s="23" t="str">
        <f>vlookup(B33,Sheet2!B:D,3,0)</f>
        <v>TUNJUNGAN PLAZA</v>
      </c>
      <c r="K33" s="23" t="str">
        <f>vlookup(A33,Sheet2!A:E,5,0)</f>
        <v>SURABAYA</v>
      </c>
      <c r="L33" s="25">
        <f>VLOOKUP(B33,Sheet3!B:L,11,0)</f>
        <v>8220741924</v>
      </c>
      <c r="M33" s="32">
        <v>45147.0</v>
      </c>
      <c r="N33" s="26">
        <v>46266.0</v>
      </c>
      <c r="O33" s="32">
        <v>46265.0</v>
      </c>
      <c r="P33" s="23" t="str">
        <f>VLOOKUP(A33,Sheet2!A:F,6,0)</f>
        <v>SURABAYA</v>
      </c>
      <c r="Q33" s="24" t="s">
        <v>501</v>
      </c>
      <c r="R33" s="27" t="s">
        <v>632</v>
      </c>
      <c r="S33" s="28">
        <v>5289000.0</v>
      </c>
      <c r="T33" s="29">
        <v>5289000.0</v>
      </c>
      <c r="U33" s="33"/>
      <c r="V33" s="23"/>
      <c r="W33" s="31">
        <v>5288796.0</v>
      </c>
      <c r="X33" s="31">
        <v>600000.0</v>
      </c>
      <c r="Y33" s="31">
        <f t="shared" si="4"/>
        <v>5888796</v>
      </c>
    </row>
    <row r="34" ht="22.5" customHeight="1">
      <c r="A34" s="19" t="s">
        <v>885</v>
      </c>
      <c r="B34" s="20" t="s">
        <v>243</v>
      </c>
      <c r="C34" s="21" t="str">
        <f>vlookup(B34,Sheet3!B:C,2,0)</f>
        <v>Jln barukang 6 no 2</v>
      </c>
      <c r="D34" s="22">
        <f>vlookup(B34,Sheet3!B:D,3,0)</f>
        <v>35910</v>
      </c>
      <c r="E34" s="20" t="str">
        <f>vlookup(B34,Sheet3!B:F,5,0)</f>
        <v>Makassar</v>
      </c>
      <c r="F34" s="20" t="str">
        <f>vlookup(B34,Sheet3!B:H,7,0)</f>
        <v>S1</v>
      </c>
      <c r="G34" s="23" t="str">
        <f>vlookup(B34,Sheet3!B:I,8,0)</f>
        <v>089684056159</v>
      </c>
      <c r="H34" s="23" t="str">
        <f>vlookup(B34,Sheet3!B:J,9,0)</f>
        <v>Fatralaily98@gmail.com</v>
      </c>
      <c r="I34" s="24" t="s">
        <v>455</v>
      </c>
      <c r="J34" s="23" t="str">
        <f>vlookup(B34,Sheet2!B:D,3,0)</f>
        <v>SEMERU SARAPPO</v>
      </c>
      <c r="K34" s="23" t="str">
        <f>vlookup(A34,Sheet2!A:E,5,0)</f>
        <v>MAKASSAR</v>
      </c>
      <c r="L34" s="25">
        <f>VLOOKUP(B34,Sheet3!B:L,11,0)</f>
        <v>7685985489</v>
      </c>
      <c r="M34" s="32">
        <v>46128.0</v>
      </c>
      <c r="N34" s="26">
        <v>46266.0</v>
      </c>
      <c r="O34" s="32">
        <v>46265.0</v>
      </c>
      <c r="P34" s="23" t="str">
        <f>VLOOKUP(A34,Sheet2!A:F,6,0)</f>
        <v>MAKASSAR</v>
      </c>
      <c r="Q34" s="24" t="s">
        <v>501</v>
      </c>
      <c r="R34" s="27" t="s">
        <v>505</v>
      </c>
      <c r="S34" s="28">
        <v>4149000.0</v>
      </c>
      <c r="T34" s="29">
        <v>2904300.0</v>
      </c>
      <c r="U34" s="30">
        <v>1244700.0</v>
      </c>
      <c r="V34" s="23"/>
      <c r="W34" s="31">
        <v>4148179.0</v>
      </c>
      <c r="X34" s="31">
        <v>0.0</v>
      </c>
      <c r="Y34" s="31">
        <f t="shared" si="4"/>
        <v>4148179</v>
      </c>
    </row>
    <row r="35" ht="22.5" customHeight="1">
      <c r="A35" s="19" t="s">
        <v>889</v>
      </c>
      <c r="B35" s="20" t="s">
        <v>166</v>
      </c>
      <c r="C35" s="21" t="str">
        <f>vlookup(B35,Sheet3!B:C,2,0)</f>
        <v>Jl. Berlian, No.i04, Bontang lestari</v>
      </c>
      <c r="D35" s="22">
        <f>vlookup(B35,Sheet3!B:D,3,0)</f>
        <v>38030</v>
      </c>
      <c r="E35" s="20" t="str">
        <f>vlookup(B35,Sheet3!B:F,5,0)</f>
        <v>Bontang</v>
      </c>
      <c r="F35" s="20" t="str">
        <f>vlookup(B35,Sheet3!B:H,7,0)</f>
        <v>SLTA</v>
      </c>
      <c r="G35" s="23" t="str">
        <f>vlookup(B35,Sheet3!B:I,8,0)</f>
        <v>081251882460</v>
      </c>
      <c r="H35" s="23" t="str">
        <f>vlookup(B35,Sheet3!B:J,9,0)</f>
        <v>febrivalentino24@gmail.com</v>
      </c>
      <c r="I35" s="24" t="s">
        <v>455</v>
      </c>
      <c r="J35" s="23" t="str">
        <f>vlookup(B35,Sheet2!B:D,3,0)</f>
        <v>NUANSA ELEKTRONIK BONTANG</v>
      </c>
      <c r="K35" s="23" t="str">
        <f>vlookup(A35,Sheet2!A:E,5,0)</f>
        <v>BONTANG</v>
      </c>
      <c r="L35" s="25">
        <f>VLOOKUP(B35,Sheet3!B:L,11,0)</f>
        <v>6705379401</v>
      </c>
      <c r="M35" s="32">
        <v>45915.0</v>
      </c>
      <c r="N35" s="26">
        <v>46266.0</v>
      </c>
      <c r="O35" s="32">
        <v>46265.0</v>
      </c>
      <c r="P35" s="23" t="str">
        <f>VLOOKUP(A35,Sheet2!A:F,6,0)</f>
        <v>SAMARINDA</v>
      </c>
      <c r="Q35" s="24" t="s">
        <v>501</v>
      </c>
      <c r="R35" s="27" t="s">
        <v>505</v>
      </c>
      <c r="S35" s="28">
        <v>3800000.0</v>
      </c>
      <c r="T35" s="29">
        <v>2660000.0</v>
      </c>
      <c r="U35" s="30">
        <v>1140000.0</v>
      </c>
      <c r="V35" s="23"/>
      <c r="W35" s="31">
        <v>3799480.0</v>
      </c>
      <c r="X35" s="31">
        <v>0.0</v>
      </c>
      <c r="Y35" s="31">
        <f t="shared" si="4"/>
        <v>3799480</v>
      </c>
    </row>
    <row r="36" ht="22.5" customHeight="1">
      <c r="A36" s="19" t="s">
        <v>894</v>
      </c>
      <c r="B36" s="20" t="s">
        <v>261</v>
      </c>
      <c r="C36" s="21" t="str">
        <f>vlookup(B36,Sheet3!B:C,2,0)</f>
        <v>Dusun III Perum Johar II Jl. Semangka No.11</v>
      </c>
      <c r="D36" s="22">
        <f>vlookup(B36,Sheet3!B:D,3,0)</f>
        <v>36422</v>
      </c>
      <c r="E36" s="20" t="str">
        <f>vlookup(B36,Sheet3!B:F,5,0)</f>
        <v>Payakumbuh</v>
      </c>
      <c r="F36" s="20" t="str">
        <f>vlookup(B36,Sheet3!B:H,7,0)</f>
        <v>S1</v>
      </c>
      <c r="G36" s="23" t="str">
        <f>vlookup(B36,Sheet3!B:I,8,0)</f>
        <v>089512709094</v>
      </c>
      <c r="H36" s="23" t="str">
        <f>vlookup(B36,Sheet3!B:J,9,0)</f>
        <v>ferdinandanthonius1@gmail.com</v>
      </c>
      <c r="I36" s="77" t="str">
        <f>vlookup(A36,Sheet2!A:E,3,0)</f>
        <v>GTM</v>
      </c>
      <c r="J36" s="23" t="str">
        <f>vlookup(B36,Sheet2!B:D,3,0)</f>
        <v>Kota Medan</v>
      </c>
      <c r="K36" s="23" t="str">
        <f>vlookup(A36,Sheet2!A:E,5,0)</f>
        <v>MEDAN</v>
      </c>
      <c r="L36" s="25">
        <f>VLOOKUP(B36,Sheet3!B:L,11,0)</f>
        <v>2421392678</v>
      </c>
      <c r="M36" s="32">
        <f>vlookup(B36,'data staffinc_3'!B:I,7,0)</f>
        <v>46174</v>
      </c>
      <c r="N36" s="26">
        <v>46266.0</v>
      </c>
      <c r="O36" s="32">
        <f>vlookup(B36,'data staffinc_3'!B:I,8,0)</f>
        <v>46265</v>
      </c>
      <c r="P36" s="23" t="str">
        <f>VLOOKUP(A36,Sheet2!A:F,6,0)</f>
        <v>MEDAN</v>
      </c>
      <c r="Q36" s="24" t="s">
        <v>501</v>
      </c>
      <c r="R36" s="27" t="s">
        <v>632</v>
      </c>
      <c r="S36" s="54"/>
      <c r="T36" s="29">
        <v>5353000.0</v>
      </c>
      <c r="U36" s="33"/>
      <c r="V36" s="23"/>
      <c r="W36" s="31">
        <v>5202238.0</v>
      </c>
      <c r="X36" s="31">
        <v>150000.0</v>
      </c>
      <c r="Y36" s="31">
        <f t="shared" si="4"/>
        <v>5352238</v>
      </c>
    </row>
    <row r="37" ht="22.5" customHeight="1">
      <c r="A37" s="19" t="s">
        <v>897</v>
      </c>
      <c r="B37" s="20" t="s">
        <v>272</v>
      </c>
      <c r="C37" s="21" t="str">
        <f>vlookup(B37,Sheet3!B:C,2,0)</f>
        <v>JL D.I PANJAITAN NO 08 RT 4 SUMBER REJO</v>
      </c>
      <c r="D37" s="22">
        <f>vlookup(B37,Sheet3!B:D,3,0)</f>
        <v>37670</v>
      </c>
      <c r="E37" s="20" t="str">
        <f>vlookup(B37,Sheet3!B:F,5,0)</f>
        <v>Balikpapan</v>
      </c>
      <c r="F37" s="20" t="str">
        <f>vlookup(B37,Sheet3!B:H,7,0)</f>
        <v>SLTA</v>
      </c>
      <c r="G37" s="23" t="str">
        <f>vlookup(B37,Sheet3!B:I,8,0)</f>
        <v>087773201795</v>
      </c>
      <c r="H37" s="23" t="str">
        <f>vlookup(B37,Sheet3!B:J,9,0)</f>
        <v>Ferdiiiaaann@gmail.com</v>
      </c>
      <c r="I37" s="24" t="s">
        <v>455</v>
      </c>
      <c r="J37" s="23" t="str">
        <f>vlookup(B37,Sheet2!B:D,3,0)</f>
        <v>NUANSA BALIKPAPAN KILO</v>
      </c>
      <c r="K37" s="23" t="str">
        <f>vlookup(A37,Sheet2!A:E,5,0)</f>
        <v>BALIKPAPAN</v>
      </c>
      <c r="L37" s="25"/>
      <c r="M37" s="32">
        <v>46202.0</v>
      </c>
      <c r="N37" s="26">
        <v>46266.0</v>
      </c>
      <c r="O37" s="32">
        <v>46265.0</v>
      </c>
      <c r="P37" s="23" t="str">
        <f>VLOOKUP(A37,Sheet2!A:F,6,0)</f>
        <v>SAMARINDA</v>
      </c>
      <c r="Q37" s="24" t="s">
        <v>501</v>
      </c>
      <c r="R37" s="27" t="s">
        <v>505</v>
      </c>
      <c r="S37" s="28">
        <v>3857000.0</v>
      </c>
      <c r="T37" s="29">
        <v>2699900.0</v>
      </c>
      <c r="U37" s="30">
        <v>1157100.0</v>
      </c>
      <c r="V37" s="23"/>
      <c r="W37" s="31">
        <v>3856694.0</v>
      </c>
      <c r="X37" s="31">
        <v>0.0</v>
      </c>
      <c r="Y37" s="31">
        <f t="shared" si="4"/>
        <v>3856694</v>
      </c>
    </row>
    <row r="38" ht="22.5" customHeight="1">
      <c r="A38" s="19" t="s">
        <v>899</v>
      </c>
      <c r="B38" s="20" t="s">
        <v>275</v>
      </c>
      <c r="C38" s="21" t="str">
        <f>vlookup(B38,Sheet3!B:C,2,0)</f>
        <v>Bendo Rt07/Rw02 , Katur, Gayam Bojonegoro</v>
      </c>
      <c r="D38" s="22">
        <f>vlookup(B38,Sheet3!B:D,3,0)</f>
        <v>37614</v>
      </c>
      <c r="E38" s="20" t="str">
        <f>vlookup(B38,Sheet3!B:F,5,0)</f>
        <v>Surabaya</v>
      </c>
      <c r="F38" s="20" t="str">
        <f>vlookup(B38,Sheet3!B:H,7,0)</f>
        <v>SLTA</v>
      </c>
      <c r="G38" s="23" t="str">
        <f>vlookup(B38,Sheet3!B:I,8,0)</f>
        <v>085604913433</v>
      </c>
      <c r="H38" s="23" t="str">
        <f>vlookup(B38,Sheet3!B:J,9,0)</f>
        <v>findyptr024@gmail.com</v>
      </c>
      <c r="I38" s="24" t="s">
        <v>455</v>
      </c>
      <c r="J38" s="23" t="str">
        <f>vlookup(B38,Sheet2!B:D,3,0)</f>
        <v>OGAN BANDULAN &amp; OGAN BONDOWOSO</v>
      </c>
      <c r="K38" s="23" t="str">
        <f>vlookup(A38,Sheet2!A:E,5,0)</f>
        <v>MALANG</v>
      </c>
      <c r="L38" s="25"/>
      <c r="M38" s="32">
        <v>46240.0</v>
      </c>
      <c r="N38" s="26">
        <v>46266.0</v>
      </c>
      <c r="O38" s="32">
        <v>46265.0</v>
      </c>
      <c r="P38" s="23" t="str">
        <f>VLOOKUP(A38,Sheet2!A:F,6,0)</f>
        <v>SURABAYA</v>
      </c>
      <c r="Q38" s="24" t="s">
        <v>501</v>
      </c>
      <c r="R38" s="27" t="s">
        <v>505</v>
      </c>
      <c r="S38" s="28">
        <v>3803000.0</v>
      </c>
      <c r="T38" s="29">
        <v>2662100.0</v>
      </c>
      <c r="U38" s="30">
        <v>1140900.0</v>
      </c>
      <c r="V38" s="23"/>
      <c r="W38" s="31">
        <v>3736101.0</v>
      </c>
      <c r="X38" s="31">
        <v>0.0</v>
      </c>
      <c r="Y38" s="31">
        <f t="shared" si="4"/>
        <v>3736101</v>
      </c>
    </row>
    <row r="39" ht="22.5" customHeight="1">
      <c r="A39" s="19" t="s">
        <v>902</v>
      </c>
      <c r="B39" s="20" t="s">
        <v>64</v>
      </c>
      <c r="C39" s="21" t="str">
        <f>vlookup(B39,Sheet3!B:C,2,0)</f>
        <v>DUSUN IV DESA SUNGAI PINANG</v>
      </c>
      <c r="D39" s="22">
        <f>vlookup(B39,Sheet3!B:D,3,0)</f>
        <v>39056</v>
      </c>
      <c r="E39" s="20" t="str">
        <f>vlookup(B39,Sheet3!B:F,5,0)</f>
        <v>banyuasin</v>
      </c>
      <c r="F39" s="20" t="str">
        <f>vlookup(B39,Sheet3!B:H,7,0)</f>
        <v>SLTA</v>
      </c>
      <c r="G39" s="23" t="str">
        <f>vlookup(B39,Sheet3!B:I,8,0)</f>
        <v>083872915839</v>
      </c>
      <c r="H39" s="23" t="str">
        <f>vlookup(B39,Sheet3!B:J,9,0)</f>
        <v>fanda5833@gmail.com</v>
      </c>
      <c r="I39" s="24" t="s">
        <v>455</v>
      </c>
      <c r="J39" s="23" t="str">
        <f>vlookup(B39,Sheet2!B:D,3,0)</f>
        <v>MDP SUPERSTORE</v>
      </c>
      <c r="K39" s="23" t="str">
        <f>vlookup(A39,Sheet2!A:E,5,0)</f>
        <v>PALEMBANG</v>
      </c>
      <c r="L39" s="25">
        <f>VLOOKUP(B39,Sheet3!B:L,11,0)</f>
        <v>8435689139</v>
      </c>
      <c r="M39" s="32">
        <v>45567.0</v>
      </c>
      <c r="N39" s="26">
        <v>46266.0</v>
      </c>
      <c r="O39" s="32">
        <v>46265.0</v>
      </c>
      <c r="P39" s="23" t="str">
        <f>VLOOKUP(A39,Sheet2!A:F,6,0)</f>
        <v>PALEMBANG</v>
      </c>
      <c r="Q39" s="24" t="s">
        <v>501</v>
      </c>
      <c r="R39" s="27" t="s">
        <v>505</v>
      </c>
      <c r="S39" s="28">
        <v>4193000.0</v>
      </c>
      <c r="T39" s="29">
        <v>2935100.0</v>
      </c>
      <c r="U39" s="30">
        <v>1257900.0</v>
      </c>
      <c r="V39" s="23"/>
      <c r="W39" s="31">
        <v>4192837.0</v>
      </c>
      <c r="X39" s="31">
        <v>0.0</v>
      </c>
      <c r="Y39" s="31">
        <f t="shared" si="4"/>
        <v>4192837</v>
      </c>
    </row>
    <row r="40" ht="22.5" customHeight="1">
      <c r="A40" s="19" t="s">
        <v>905</v>
      </c>
      <c r="B40" s="20" t="s">
        <v>33</v>
      </c>
      <c r="C40" s="21" t="str">
        <f>vlookup(B40,Sheet3!B:C,2,0)</f>
        <v>JL.PEMUDA 2 GG.PENDAWA BLOK.E NO.86 RT.012 KEL.TEMINDUNG PERMAI KEC.SUNGAI PINANG</v>
      </c>
      <c r="D40" s="22">
        <f>vlookup(B40,Sheet3!B:D,3,0)</f>
        <v>-659022</v>
      </c>
      <c r="E40" s="20" t="str">
        <f>vlookup(B40,Sheet3!B:F,5,0)</f>
        <v>SAMARINDA</v>
      </c>
      <c r="F40" s="20" t="str">
        <f>vlookup(B40,Sheet3!B:H,7,0)</f>
        <v>SLTA</v>
      </c>
      <c r="G40" s="23" t="str">
        <f>vlookup(B40,Sheet3!B:I,8,0)</f>
        <v>082128843818</v>
      </c>
      <c r="H40" s="23" t="str">
        <f>vlookup(B40,Sheet3!B:J,9,0)</f>
        <v>firdaduriatinalulya@gmail.com</v>
      </c>
      <c r="I40" s="24" t="s">
        <v>455</v>
      </c>
      <c r="J40" s="23" t="str">
        <f>vlookup(B40,Sheet2!B:D,3,0)</f>
        <v>NUANSA IMAM BONJOL</v>
      </c>
      <c r="K40" s="23" t="str">
        <f>vlookup(A40,Sheet2!A:E,5,0)</f>
        <v>SAMARINDA</v>
      </c>
      <c r="L40" s="25">
        <f>VLOOKUP(B40,Sheet3!B:L,11,0)</f>
        <v>7935297133</v>
      </c>
      <c r="M40" s="32">
        <v>43777.0</v>
      </c>
      <c r="N40" s="26">
        <v>46266.0</v>
      </c>
      <c r="O40" s="32">
        <v>46265.0</v>
      </c>
      <c r="P40" s="23" t="str">
        <f>VLOOKUP(A40,Sheet2!A:F,6,0)</f>
        <v>SAMARINDA</v>
      </c>
      <c r="Q40" s="24" t="s">
        <v>501</v>
      </c>
      <c r="R40" s="27" t="s">
        <v>505</v>
      </c>
      <c r="S40" s="28">
        <v>3984000.0</v>
      </c>
      <c r="T40" s="29">
        <v>2788800.0</v>
      </c>
      <c r="U40" s="30">
        <v>1195200.0</v>
      </c>
      <c r="V40" s="19" t="s">
        <v>520</v>
      </c>
      <c r="W40" s="31">
        <v>3983882.0</v>
      </c>
      <c r="X40" s="31">
        <v>0.0</v>
      </c>
      <c r="Y40" s="31">
        <f t="shared" si="4"/>
        <v>3983882</v>
      </c>
    </row>
    <row r="41" ht="22.5" customHeight="1">
      <c r="A41" s="19" t="s">
        <v>909</v>
      </c>
      <c r="B41" s="20" t="s">
        <v>55</v>
      </c>
      <c r="C41" s="21" t="str">
        <f>vlookup(B41,Sheet3!B:C,2,0)</f>
        <v>Jl ampera III ujung rt 038 rw 003</v>
      </c>
      <c r="D41" s="22">
        <f>vlookup(B41,Sheet3!B:D,3,0)</f>
        <v>32011</v>
      </c>
      <c r="E41" s="20" t="str">
        <f>vlookup(B41,Sheet3!B:F,5,0)</f>
        <v>Jember</v>
      </c>
      <c r="F41" s="20" t="str">
        <f>vlookup(B41,Sheet3!B:H,7,0)</f>
        <v>SLTA</v>
      </c>
      <c r="G41" s="23" t="str">
        <f>vlookup(B41,Sheet3!B:I,8,0)</f>
        <v>085753994944</v>
      </c>
      <c r="H41" s="23" t="str">
        <f>vlookup(B41,Sheet3!B:J,9,0)</f>
        <v>Wulan.rhevian22@gmail.com</v>
      </c>
      <c r="I41" s="24" t="s">
        <v>455</v>
      </c>
      <c r="J41" s="23" t="str">
        <f>vlookup(B41,Sheet2!B:D,3,0)</f>
        <v>PONDOK ELEKTRONIK</v>
      </c>
      <c r="K41" s="23" t="str">
        <f>vlookup(A41,Sheet2!A:E,5,0)</f>
        <v>BANJARMASIN</v>
      </c>
      <c r="L41" s="25">
        <f>VLOOKUP(B41,Sheet3!B:L,11,0)</f>
        <v>8275329891</v>
      </c>
      <c r="M41" s="32">
        <v>45323.0</v>
      </c>
      <c r="N41" s="26">
        <v>46266.0</v>
      </c>
      <c r="O41" s="32">
        <v>46265.0</v>
      </c>
      <c r="P41" s="23" t="str">
        <f>VLOOKUP(A41,Sheet2!A:F,6,0)</f>
        <v>BANJARMASIN</v>
      </c>
      <c r="Q41" s="24" t="s">
        <v>501</v>
      </c>
      <c r="R41" s="27" t="s">
        <v>505</v>
      </c>
      <c r="S41" s="28">
        <v>3856000.0</v>
      </c>
      <c r="T41" s="29">
        <v>2699200.0</v>
      </c>
      <c r="U41" s="30">
        <v>1156800.0</v>
      </c>
      <c r="V41" s="23"/>
      <c r="W41" s="31">
        <v>3855894.0</v>
      </c>
      <c r="X41" s="31">
        <v>0.0</v>
      </c>
      <c r="Y41" s="31">
        <f t="shared" si="4"/>
        <v>3855894</v>
      </c>
    </row>
    <row r="42" ht="22.5" customHeight="1">
      <c r="A42" s="19" t="s">
        <v>913</v>
      </c>
      <c r="B42" s="20" t="s">
        <v>687</v>
      </c>
      <c r="C42" s="21" t="str">
        <f>vlookup(B42,Sheet3!B:C,2,0)</f>
        <v>JL. BANTIMURUNG NO 92,RT/RW:042/000, KEL/DESA: GUNUNG BAHAGIA, KEC: BALIKPAPAN SELATAN </v>
      </c>
      <c r="D42" s="22">
        <f>vlookup(B42,Sheet3!B:D,3,0)</f>
        <v>35212</v>
      </c>
      <c r="E42" s="20" t="str">
        <f>vlookup(B42,Sheet3!B:F,5,0)</f>
        <v>LARANTUKA</v>
      </c>
      <c r="F42" s="20" t="str">
        <f>vlookup(B42,Sheet3!B:H,7,0)</f>
        <v>SLTA</v>
      </c>
      <c r="G42" s="23" t="str">
        <f>vlookup(B42,Sheet3!B:I,8,0)</f>
        <v>081239754529</v>
      </c>
      <c r="H42" s="23" t="str">
        <f>vlookup(B42,Sheet3!B:J,9,0)</f>
        <v>fxaverius048@gmail.com</v>
      </c>
      <c r="I42" s="24" t="s">
        <v>455</v>
      </c>
      <c r="J42" s="23" t="str">
        <f>vlookup(B42,Sheet2!B:D,3,0)</f>
        <v>TOKO GYS JAYA</v>
      </c>
      <c r="K42" s="23" t="str">
        <f>vlookup(A42,Sheet2!A:E,5,0)</f>
        <v>BALIKPAPAN</v>
      </c>
      <c r="L42" s="25">
        <f>VLOOKUP(B42,Sheet3!B:L,11,0)</f>
        <v>6965474688</v>
      </c>
      <c r="M42" s="32">
        <f>vlookup(B42,'data staffinc_3'!B:I,7,0)</f>
        <v>46247</v>
      </c>
      <c r="N42" s="26">
        <v>46266.0</v>
      </c>
      <c r="O42" s="32">
        <f>vlookup(B42,'data staffinc_3'!B:I,8,0)</f>
        <v>46265</v>
      </c>
      <c r="P42" s="23" t="str">
        <f>VLOOKUP(A42,Sheet2!A:F,6,0)</f>
        <v>SAMARINDA</v>
      </c>
      <c r="Q42" s="24" t="s">
        <v>501</v>
      </c>
      <c r="R42" s="27" t="s">
        <v>505</v>
      </c>
      <c r="S42" s="28">
        <v>3857000.0</v>
      </c>
      <c r="T42" s="29">
        <v>2699900.0</v>
      </c>
      <c r="U42" s="30">
        <v>1157100.0</v>
      </c>
      <c r="V42" s="23"/>
      <c r="W42" s="31">
        <v>3856694.0</v>
      </c>
      <c r="X42" s="31">
        <v>0.0</v>
      </c>
      <c r="Y42" s="31">
        <f t="shared" si="4"/>
        <v>3856694</v>
      </c>
    </row>
    <row r="43" ht="22.5" customHeight="1">
      <c r="A43" s="19" t="s">
        <v>916</v>
      </c>
      <c r="B43" s="20" t="s">
        <v>183</v>
      </c>
      <c r="C43" s="21" t="str">
        <f>vlookup(B43,Sheet3!B:C,2,0)</f>
        <v>Jl. Dago Barat No. 06 159/B</v>
      </c>
      <c r="D43" s="22">
        <f>vlookup(B43,Sheet3!B:D,3,0)</f>
        <v>35383</v>
      </c>
      <c r="E43" s="20" t="str">
        <f>vlookup(B43,Sheet3!B:F,5,0)</f>
        <v>Bandung</v>
      </c>
      <c r="F43" s="20" t="str">
        <f>vlookup(B43,Sheet3!B:H,7,0)</f>
        <v>SLTA</v>
      </c>
      <c r="G43" s="23" t="str">
        <f>vlookup(B43,Sheet3!B:I,8,0)</f>
        <v>089507427397</v>
      </c>
      <c r="H43" s="23" t="str">
        <f>vlookup(B43,Sheet3!B:J,9,0)</f>
        <v>fujirestunurani14@gmail.com</v>
      </c>
      <c r="I43" s="24" t="s">
        <v>455</v>
      </c>
      <c r="J43" s="23" t="str">
        <f>vlookup(B43,Sheet2!B:D,3,0)</f>
        <v>MUTIARA SUPER KITCHEN</v>
      </c>
      <c r="K43" s="23" t="str">
        <f>vlookup(A43,Sheet2!A:E,5,0)</f>
        <v>BANDUNG</v>
      </c>
      <c r="L43" s="25"/>
      <c r="M43" s="32">
        <v>45996.0</v>
      </c>
      <c r="N43" s="26">
        <v>46266.0</v>
      </c>
      <c r="O43" s="32">
        <v>46265.0</v>
      </c>
      <c r="P43" s="23" t="str">
        <f>VLOOKUP(A43,Sheet2!A:F,6,0)</f>
        <v>BANDUNG</v>
      </c>
      <c r="Q43" s="24" t="s">
        <v>501</v>
      </c>
      <c r="R43" s="27" t="s">
        <v>505</v>
      </c>
      <c r="S43" s="28">
        <v>4738000.0</v>
      </c>
      <c r="T43" s="29">
        <v>3316600.0</v>
      </c>
      <c r="U43" s="30">
        <v>1421400.0</v>
      </c>
      <c r="V43" s="23"/>
      <c r="W43" s="31">
        <v>4737678.0</v>
      </c>
      <c r="X43" s="31">
        <v>0.0</v>
      </c>
      <c r="Y43" s="31">
        <f t="shared" si="4"/>
        <v>4737678</v>
      </c>
    </row>
    <row r="44" ht="22.5" customHeight="1">
      <c r="A44" s="19" t="s">
        <v>918</v>
      </c>
      <c r="B44" s="20" t="s">
        <v>278</v>
      </c>
      <c r="C44" s="21" t="str">
        <f>vlookup(B44,Sheet3!B:C,2,0)</f>
        <v>Wisma Lidah Kulon XB-38</v>
      </c>
      <c r="D44" s="22">
        <f>vlookup(B44,Sheet3!B:D,3,0)</f>
        <v>36971</v>
      </c>
      <c r="E44" s="20" t="str">
        <f>vlookup(B44,Sheet3!B:F,5,0)</f>
        <v>Surabaya</v>
      </c>
      <c r="F44" s="20" t="str">
        <f>vlookup(B44,Sheet3!B:H,7,0)</f>
        <v>SLTA</v>
      </c>
      <c r="G44" s="23" t="str">
        <f>vlookup(B44,Sheet3!B:I,8,0)</f>
        <v>088217641516</v>
      </c>
      <c r="H44" s="23" t="str">
        <f>vlookup(B44,Sheet3!B:J,9,0)</f>
        <v>gabriellaromkeny8@gmail.con</v>
      </c>
      <c r="I44" s="24" t="s">
        <v>1414</v>
      </c>
      <c r="J44" s="23" t="str">
        <f>vlookup(B44,Sheet2!B:D,3,0)</f>
        <v>HARTONO KERTAJAYA INDAH</v>
      </c>
      <c r="K44" s="23" t="str">
        <f>vlookup(A44,Sheet2!A:E,5,0)</f>
        <v>SURABAYA</v>
      </c>
      <c r="L44" s="25">
        <f>VLOOKUP(B44,Sheet3!B:L,11,0)</f>
        <v>8291068537</v>
      </c>
      <c r="M44" s="32"/>
      <c r="N44" s="32"/>
      <c r="O44" s="32"/>
      <c r="P44" s="23" t="str">
        <f>VLOOKUP(A44,Sheet2!A:F,6,0)</f>
        <v>SURABAYA</v>
      </c>
      <c r="Q44" s="24" t="s">
        <v>1428</v>
      </c>
      <c r="R44" s="27" t="s">
        <v>632</v>
      </c>
      <c r="S44" s="28">
        <v>5289000.0</v>
      </c>
      <c r="T44" s="29">
        <v>5289000.0</v>
      </c>
      <c r="U44" s="33"/>
      <c r="V44" s="23"/>
      <c r="W44" s="31"/>
      <c r="X44" s="31"/>
      <c r="Y44" s="65"/>
    </row>
    <row r="45" ht="22.5" customHeight="1">
      <c r="A45" s="19" t="s">
        <v>920</v>
      </c>
      <c r="B45" s="20" t="s">
        <v>70</v>
      </c>
      <c r="C45" s="21" t="str">
        <f>vlookup(B45,Sheet3!B:C,2,0)</f>
        <v>JL KOMPLEK LOYANG INDAH BLOK M4 RT11 RW00</v>
      </c>
      <c r="D45" s="22">
        <f>vlookup(B45,Sheet3!B:D,3,0)</f>
        <v>34274</v>
      </c>
      <c r="E45" s="20" t="str">
        <f>vlookup(B45,Sheet3!B:F,5,0)</f>
        <v>KOTABARU</v>
      </c>
      <c r="F45" s="20" t="str">
        <f>vlookup(B45,Sheet3!B:H,7,0)</f>
        <v>SLTA</v>
      </c>
      <c r="G45" s="23" t="str">
        <f>vlookup(B45,Sheet3!B:I,8,0)</f>
        <v>082253031413</v>
      </c>
      <c r="H45" s="23" t="str">
        <f>vlookup(B45,Sheet3!B:J,9,0)</f>
        <v>ammygusti@gmail.com</v>
      </c>
      <c r="I45" s="24" t="s">
        <v>455</v>
      </c>
      <c r="J45" s="23" t="str">
        <f>vlookup(B45,Sheet2!B:D,3,0)</f>
        <v>NUANSA ELEKTRONIK TANJUNG</v>
      </c>
      <c r="K45" s="23" t="str">
        <f>vlookup(A45,Sheet2!A:E,5,0)</f>
        <v>TABALONG</v>
      </c>
      <c r="L45" s="25">
        <f>VLOOKUP(B45,Sheet3!B:L,11,0)</f>
        <v>8695108539</v>
      </c>
      <c r="M45" s="32">
        <v>45627.0</v>
      </c>
      <c r="N45" s="26">
        <v>46266.0</v>
      </c>
      <c r="O45" s="32">
        <v>46265.0</v>
      </c>
      <c r="P45" s="23" t="str">
        <f>VLOOKUP(A45,Sheet2!A:F,6,0)</f>
        <v>BANJARMASIN</v>
      </c>
      <c r="Q45" s="24" t="s">
        <v>501</v>
      </c>
      <c r="R45" s="27" t="s">
        <v>505</v>
      </c>
      <c r="S45" s="28">
        <v>3828000.0</v>
      </c>
      <c r="T45" s="29">
        <v>2679600.0</v>
      </c>
      <c r="U45" s="30">
        <v>1148400.0</v>
      </c>
      <c r="V45" s="19" t="s">
        <v>1776</v>
      </c>
      <c r="W45" s="31">
        <v>3827935.0</v>
      </c>
      <c r="X45" s="31">
        <v>0.0</v>
      </c>
      <c r="Y45" s="31">
        <f t="shared" ref="Y45:Y53" si="5">W45+X45</f>
        <v>3827935</v>
      </c>
    </row>
    <row r="46" ht="22.5" customHeight="1">
      <c r="A46" s="19" t="s">
        <v>924</v>
      </c>
      <c r="B46" s="20" t="s">
        <v>52</v>
      </c>
      <c r="C46" s="21" t="str">
        <f>vlookup(B46,Sheet3!B:C,2,0)</f>
        <v>Jln Cihikeu, Desa Cihikeu Rt 01/ Rw 03 Kecamatan Bungbulang kabupaten Garut </v>
      </c>
      <c r="D46" s="22">
        <f>vlookup(B46,Sheet3!B:D,3,0)</f>
        <v>37458</v>
      </c>
      <c r="E46" s="20" t="str">
        <f>vlookup(B46,Sheet3!B:F,5,0)</f>
        <v>Garut</v>
      </c>
      <c r="F46" s="20" t="str">
        <f>vlookup(B46,Sheet3!B:H,7,0)</f>
        <v>SLTA</v>
      </c>
      <c r="G46" s="23" t="str">
        <f>vlookup(B46,Sheet3!B:I,8,0)</f>
        <v>088985069845</v>
      </c>
      <c r="H46" s="23" t="str">
        <f>vlookup(B46,Sheet3!B:J,9,0)</f>
        <v>habibmustopa25@gmail.com</v>
      </c>
      <c r="I46" s="24" t="s">
        <v>455</v>
      </c>
      <c r="J46" s="23" t="str">
        <f>vlookup(B46,Sheet2!B:D,3,0)</f>
        <v>WIJAYA ELEKTRONIK</v>
      </c>
      <c r="K46" s="23" t="str">
        <f>vlookup(A46,Sheet2!A:E,5,0)</f>
        <v>SEMARANG</v>
      </c>
      <c r="L46" s="25">
        <f>VLOOKUP(B46,Sheet3!B:L,11,0)</f>
        <v>2801851268</v>
      </c>
      <c r="M46" s="32">
        <v>44911.0</v>
      </c>
      <c r="N46" s="26">
        <v>46266.0</v>
      </c>
      <c r="O46" s="32">
        <v>46265.0</v>
      </c>
      <c r="P46" s="23" t="str">
        <f>VLOOKUP(A46,Sheet2!A:F,6,0)</f>
        <v>SEMARANG</v>
      </c>
      <c r="Q46" s="24" t="s">
        <v>501</v>
      </c>
      <c r="R46" s="27" t="s">
        <v>505</v>
      </c>
      <c r="S46" s="28">
        <v>3702000.0</v>
      </c>
      <c r="T46" s="29">
        <v>2591400.0</v>
      </c>
      <c r="U46" s="30">
        <v>1110600.0</v>
      </c>
      <c r="V46" s="23"/>
      <c r="W46" s="31">
        <v>4233374.0</v>
      </c>
      <c r="X46" s="31">
        <v>0.0</v>
      </c>
      <c r="Y46" s="31">
        <f t="shared" si="5"/>
        <v>4233374</v>
      </c>
    </row>
    <row r="47" ht="22.5" customHeight="1">
      <c r="A47" s="19" t="s">
        <v>928</v>
      </c>
      <c r="B47" s="20" t="s">
        <v>188</v>
      </c>
      <c r="C47" s="21" t="str">
        <f>vlookup(B47,Sheet3!B:C,2,0)</f>
        <v>Dusun Babatan RT 003 RW 018 Sidomekar Semboro Jember</v>
      </c>
      <c r="D47" s="22">
        <f>vlookup(B47,Sheet3!B:D,3,0)</f>
        <v>31317</v>
      </c>
      <c r="E47" s="20" t="str">
        <f>vlookup(B47,Sheet3!B:F,5,0)</f>
        <v>Lumajang</v>
      </c>
      <c r="F47" s="20" t="str">
        <f>vlookup(B47,Sheet3!B:H,7,0)</f>
        <v>SLTA</v>
      </c>
      <c r="G47" s="23" t="str">
        <f>vlookup(B47,Sheet3!B:I,8,0)</f>
        <v>081235652785</v>
      </c>
      <c r="H47" s="23" t="str">
        <f>vlookup(B47,Sheet3!B:J,9,0)</f>
        <v>joetozeta@gmail.com</v>
      </c>
      <c r="I47" s="24" t="s">
        <v>455</v>
      </c>
      <c r="J47" s="23" t="str">
        <f>vlookup(B47,Sheet2!B:D,3,0)</f>
        <v>TOKO RAMAI JAYA JEMBER</v>
      </c>
      <c r="K47" s="23" t="str">
        <f>vlookup(A47,Sheet2!A:E,5,0)</f>
        <v>JEMBER</v>
      </c>
      <c r="L47" s="25">
        <f>VLOOKUP(B47,Sheet3!B:L,11,0)</f>
        <v>1250894160</v>
      </c>
      <c r="M47" s="32">
        <v>46008.0</v>
      </c>
      <c r="N47" s="26">
        <v>46266.0</v>
      </c>
      <c r="O47" s="32">
        <v>46265.0</v>
      </c>
      <c r="P47" s="23" t="str">
        <f>VLOOKUP(A47,Sheet2!A:F,6,0)</f>
        <v>SURABAYA</v>
      </c>
      <c r="Q47" s="24" t="s">
        <v>501</v>
      </c>
      <c r="R47" s="27" t="s">
        <v>505</v>
      </c>
      <c r="S47" s="28">
        <v>3013000.0</v>
      </c>
      <c r="T47" s="29">
        <v>2109100.0</v>
      </c>
      <c r="U47" s="30">
        <v>903900.0</v>
      </c>
      <c r="V47" s="23"/>
      <c r="W47" s="31">
        <v>3012197.0</v>
      </c>
      <c r="X47" s="31">
        <v>0.0</v>
      </c>
      <c r="Y47" s="31">
        <f t="shared" si="5"/>
        <v>3012197</v>
      </c>
    </row>
    <row r="48" ht="22.5" customHeight="1">
      <c r="A48" s="19" t="s">
        <v>933</v>
      </c>
      <c r="B48" s="20" t="s">
        <v>258</v>
      </c>
      <c r="C48" s="21" t="str">
        <f>vlookup(B48,Sheet3!B:C,2,0)</f>
        <v>Banjar sari</v>
      </c>
      <c r="D48" s="22">
        <f>vlookup(B48,Sheet3!B:D,3,0)</f>
        <v>35211</v>
      </c>
      <c r="E48" s="20" t="str">
        <f>vlookup(B48,Sheet3!B:F,5,0)</f>
        <v>Bandar lampung</v>
      </c>
      <c r="F48" s="20" t="str">
        <f>vlookup(B48,Sheet3!B:H,7,0)</f>
        <v>SLTA</v>
      </c>
      <c r="G48" s="23" t="str">
        <f>vlookup(B48,Sheet3!B:I,8,0)</f>
        <v>082377054696</v>
      </c>
      <c r="H48" s="23" t="str">
        <f>vlookup(B48,Sheet3!B:J,9,0)</f>
        <v>Hellenby889@gmail.com</v>
      </c>
      <c r="I48" s="24" t="s">
        <v>455</v>
      </c>
      <c r="J48" s="23" t="str">
        <f>vlookup(B48,Sheet2!B:D,3,0)</f>
        <v>CV GEMBIRA HOUSEWARE</v>
      </c>
      <c r="K48" s="23" t="str">
        <f>vlookup(A48,Sheet2!A:E,5,0)</f>
        <v>LAMPUNG-METRO</v>
      </c>
      <c r="L48" s="25" t="str">
        <f>VLOOKUP(B48,Sheet3!B:L,11,0)</f>
        <v>0231574629</v>
      </c>
      <c r="M48" s="32">
        <v>46174.0</v>
      </c>
      <c r="N48" s="26">
        <v>46266.0</v>
      </c>
      <c r="O48" s="32">
        <v>46265.0</v>
      </c>
      <c r="P48" s="23" t="str">
        <f>VLOOKUP(A48,Sheet2!A:F,6,0)</f>
        <v>LAMPUNG</v>
      </c>
      <c r="Q48" s="24" t="s">
        <v>501</v>
      </c>
      <c r="R48" s="27" t="s">
        <v>505</v>
      </c>
      <c r="S48" s="28">
        <v>3051000.0</v>
      </c>
      <c r="T48" s="29">
        <v>2135700.0</v>
      </c>
      <c r="U48" s="30">
        <v>915300.0</v>
      </c>
      <c r="V48" s="23"/>
      <c r="W48" s="31">
        <v>3050498.0</v>
      </c>
      <c r="X48" s="31">
        <v>0.0</v>
      </c>
      <c r="Y48" s="31">
        <f t="shared" si="5"/>
        <v>3050498</v>
      </c>
    </row>
    <row r="49" ht="22.5" customHeight="1">
      <c r="A49" s="19" t="s">
        <v>937</v>
      </c>
      <c r="B49" s="20" t="s">
        <v>129</v>
      </c>
      <c r="C49" s="21" t="str">
        <f>vlookup(B49,Sheet3!B:C,2,0)</f>
        <v>Ds.UJAN MAS BARU Kec.UJAN MAS Kab.MUARA ENIM</v>
      </c>
      <c r="D49" s="22">
        <f>vlookup(B49,Sheet3!B:D,3,0)</f>
        <v>37751</v>
      </c>
      <c r="E49" s="20" t="str">
        <f>vlookup(B49,Sheet3!B:F,5,0)</f>
        <v>Ds.TANJUNG RAYA Kab.MUSI BANYUASIN</v>
      </c>
      <c r="F49" s="20" t="str">
        <f>vlookup(B49,Sheet3!B:H,7,0)</f>
        <v>SLTA</v>
      </c>
      <c r="G49" s="23" t="str">
        <f>vlookup(B49,Sheet3!B:I,8,0)</f>
        <v>082269859451</v>
      </c>
      <c r="H49" s="23" t="str">
        <f>vlookup(B49,Sheet3!B:J,9,0)</f>
        <v>herdyy275@gmail.com</v>
      </c>
      <c r="I49" s="24" t="s">
        <v>455</v>
      </c>
      <c r="J49" s="23" t="str">
        <f>vlookup(B49,Sheet2!B:D,3,0)</f>
        <v>CV ANEKA JAYA ELEKTRONIK</v>
      </c>
      <c r="K49" s="23" t="str">
        <f>vlookup(A49,Sheet2!A:E,5,0)</f>
        <v>MUARA ENIM</v>
      </c>
      <c r="L49" s="25">
        <f>VLOOKUP(B49,Sheet3!B:L,11,0)</f>
        <v>8120433165</v>
      </c>
      <c r="M49" s="32">
        <v>45784.0</v>
      </c>
      <c r="N49" s="26">
        <v>46266.0</v>
      </c>
      <c r="O49" s="32">
        <v>46265.0</v>
      </c>
      <c r="P49" s="23" t="str">
        <f>VLOOKUP(A49,Sheet2!A:F,6,0)</f>
        <v>PALEMBANG</v>
      </c>
      <c r="Q49" s="24" t="s">
        <v>501</v>
      </c>
      <c r="R49" s="27" t="s">
        <v>505</v>
      </c>
      <c r="S49" s="28">
        <v>4193000.0</v>
      </c>
      <c r="T49" s="29">
        <v>2935100.0</v>
      </c>
      <c r="U49" s="30">
        <v>1257900.0</v>
      </c>
      <c r="V49" s="23"/>
      <c r="W49" s="31">
        <v>4192837.0</v>
      </c>
      <c r="X49" s="31">
        <v>0.0</v>
      </c>
      <c r="Y49" s="31">
        <f t="shared" si="5"/>
        <v>4192837</v>
      </c>
    </row>
    <row r="50" ht="22.5" customHeight="1">
      <c r="A50" s="19" t="s">
        <v>940</v>
      </c>
      <c r="B50" s="20" t="s">
        <v>273</v>
      </c>
      <c r="C50" s="21" t="str">
        <f>vlookup(B50,Sheet3!B:C,2,0)</f>
        <v>Semuluh kidul RT/RW 003/015 Ngeposari, Semanu, Gunungkidul </v>
      </c>
      <c r="D50" s="22">
        <f>vlookup(B50,Sheet3!B:D,3,0)</f>
        <v>33849</v>
      </c>
      <c r="E50" s="20" t="str">
        <f>vlookup(B50,Sheet3!B:F,5,0)</f>
        <v>Gunungkidul </v>
      </c>
      <c r="F50" s="20" t="str">
        <f>vlookup(B50,Sheet3!B:H,7,0)</f>
        <v>SLTA</v>
      </c>
      <c r="G50" s="23" t="str">
        <f>vlookup(B50,Sheet3!B:I,8,0)</f>
        <v>083122638000</v>
      </c>
      <c r="H50" s="23" t="str">
        <f>vlookup(B50,Sheet3!B:J,9,0)</f>
        <v>heryfriska97@gmail.com</v>
      </c>
      <c r="I50" s="24" t="s">
        <v>455</v>
      </c>
      <c r="J50" s="23" t="str">
        <f>vlookup(B50,Sheet2!B:D,3,0)</f>
        <v>ATAKRIB BHAYANGKARA</v>
      </c>
      <c r="K50" s="23" t="str">
        <f>vlookup(A50,Sheet2!A:E,5,0)</f>
        <v>YOGYAKARTA</v>
      </c>
      <c r="L50" s="25" t="str">
        <f>VLOOKUP(B50,Sheet3!B:L,11,0)</f>
        <v>0375170910</v>
      </c>
      <c r="M50" s="32">
        <v>46224.0</v>
      </c>
      <c r="N50" s="26">
        <v>46266.0</v>
      </c>
      <c r="O50" s="32">
        <v>46265.0</v>
      </c>
      <c r="P50" s="23" t="str">
        <f>VLOOKUP(A50,Sheet2!A:F,6,0)</f>
        <v>SEMARANG</v>
      </c>
      <c r="Q50" s="24" t="s">
        <v>501</v>
      </c>
      <c r="R50" s="27" t="s">
        <v>505</v>
      </c>
      <c r="S50" s="28">
        <v>3455000.0</v>
      </c>
      <c r="T50" s="29">
        <v>2418500.0</v>
      </c>
      <c r="U50" s="30">
        <v>1036500.0</v>
      </c>
      <c r="V50" s="23"/>
      <c r="W50" s="31">
        <v>3454827.0</v>
      </c>
      <c r="X50" s="31">
        <v>0.0</v>
      </c>
      <c r="Y50" s="31">
        <f t="shared" si="5"/>
        <v>3454827</v>
      </c>
    </row>
    <row r="51" ht="22.5" customHeight="1">
      <c r="A51" s="19" t="s">
        <v>942</v>
      </c>
      <c r="B51" s="20" t="s">
        <v>38</v>
      </c>
      <c r="C51" s="21" t="str">
        <f>vlookup(B51,Sheet3!B:C,2,0)</f>
        <v>Desa : TOLAI BARAT, Kecamatan: TORUE</v>
      </c>
      <c r="D51" s="22">
        <f>vlookup(B51,Sheet3!B:D,3,0)</f>
        <v>35682</v>
      </c>
      <c r="E51" s="20" t="str">
        <f>vlookup(B51,Sheet3!B:F,5,0)</f>
        <v>TOLAI</v>
      </c>
      <c r="F51" s="20" t="str">
        <f>vlookup(B51,Sheet3!B:H,7,0)</f>
        <v>SLTA</v>
      </c>
      <c r="G51" s="23" t="str">
        <f>vlookup(B51,Sheet3!B:I,8,0)</f>
        <v>082193339184</v>
      </c>
      <c r="H51" s="23" t="str">
        <f>vlookup(B51,Sheet3!B:J,9,0)</f>
        <v>sugiartha445566@gmail.com</v>
      </c>
      <c r="I51" s="24" t="s">
        <v>455</v>
      </c>
      <c r="J51" s="23" t="str">
        <f>vlookup(B51,Sheet2!B:D,3,0)</f>
        <v>STAR KITCHEN</v>
      </c>
      <c r="K51" s="23" t="str">
        <f>vlookup(A51,Sheet2!A:E,5,0)</f>
        <v>PALU</v>
      </c>
      <c r="L51" s="25">
        <f>VLOOKUP(B51,Sheet3!B:L,11,0)</f>
        <v>7795175946</v>
      </c>
      <c r="M51" s="32">
        <v>44753.0</v>
      </c>
      <c r="N51" s="26">
        <v>46266.0</v>
      </c>
      <c r="O51" s="32">
        <v>46265.0</v>
      </c>
      <c r="P51" s="23" t="str">
        <f>VLOOKUP(A51,Sheet2!A:F,6,0)</f>
        <v>MAKASSAR</v>
      </c>
      <c r="Q51" s="24" t="s">
        <v>501</v>
      </c>
      <c r="R51" s="27" t="s">
        <v>505</v>
      </c>
      <c r="S51" s="28">
        <v>4149000.0</v>
      </c>
      <c r="T51" s="29">
        <v>2904300.0</v>
      </c>
      <c r="U51" s="30">
        <v>1244700.0</v>
      </c>
      <c r="V51" s="23"/>
      <c r="W51" s="31">
        <v>4148179.0</v>
      </c>
      <c r="X51" s="31">
        <v>0.0</v>
      </c>
      <c r="Y51" s="31">
        <f t="shared" si="5"/>
        <v>4148179</v>
      </c>
    </row>
    <row r="52" ht="22.5" customHeight="1">
      <c r="A52" s="19" t="s">
        <v>946</v>
      </c>
      <c r="B52" s="20" t="s">
        <v>89</v>
      </c>
      <c r="C52" s="21" t="str">
        <f>vlookup(B52,Sheet3!B:C,2,0)</f>
        <v>Jl.padat karya komplek purnama permai 3 no 108 RT 060 RW 001</v>
      </c>
      <c r="D52" s="22">
        <f>vlookup(B52,Sheet3!B:D,3,0)</f>
        <v>30059</v>
      </c>
      <c r="E52" s="20" t="str">
        <f>vlookup(B52,Sheet3!B:F,5,0)</f>
        <v>BANJARMASIN </v>
      </c>
      <c r="F52" s="20" t="str">
        <f>vlookup(B52,Sheet3!B:H,7,0)</f>
        <v>SLTA</v>
      </c>
      <c r="G52" s="23" t="str">
        <f>vlookup(B52,Sheet3!B:I,8,0)</f>
        <v>081253019452</v>
      </c>
      <c r="H52" s="23" t="str">
        <f>vlookup(B52,Sheet3!B:J,9,0)</f>
        <v>ansyarmito2@gmail.com</v>
      </c>
      <c r="I52" s="24" t="s">
        <v>455</v>
      </c>
      <c r="J52" s="23" t="str">
        <f>vlookup(B52,Sheet2!B:D,3,0)</f>
        <v>POS ELEKTRONIK</v>
      </c>
      <c r="K52" s="23" t="str">
        <f>vlookup(A52,Sheet2!A:E,5,0)</f>
        <v>BANJARMASIN</v>
      </c>
      <c r="L52" s="25" t="str">
        <f>VLOOKUP(B52,Sheet3!B:L,11,0)</f>
        <v>0511560895</v>
      </c>
      <c r="M52" s="32">
        <v>42815.0</v>
      </c>
      <c r="N52" s="26">
        <v>46266.0</v>
      </c>
      <c r="O52" s="32">
        <v>46265.0</v>
      </c>
      <c r="P52" s="23" t="str">
        <f>VLOOKUP(A52,Sheet2!A:F,6,0)</f>
        <v>BANJARMASIN</v>
      </c>
      <c r="Q52" s="24" t="s">
        <v>501</v>
      </c>
      <c r="R52" s="27" t="s">
        <v>505</v>
      </c>
      <c r="S52" s="28">
        <v>3856000.0</v>
      </c>
      <c r="T52" s="29">
        <v>2699200.0</v>
      </c>
      <c r="U52" s="30">
        <v>1156800.0</v>
      </c>
      <c r="V52" s="23"/>
      <c r="W52" s="31">
        <v>3855894.0</v>
      </c>
      <c r="X52" s="31">
        <v>0.0</v>
      </c>
      <c r="Y52" s="31">
        <f t="shared" si="5"/>
        <v>3855894</v>
      </c>
    </row>
    <row r="53" ht="22.5" customHeight="1">
      <c r="A53" s="19" t="s">
        <v>949</v>
      </c>
      <c r="B53" s="20" t="s">
        <v>405</v>
      </c>
      <c r="C53" s="21" t="str">
        <f>vlookup(B53,Sheet3!B:C,2,0)</f>
        <v>Jl. Kaliombo Raya 93 </v>
      </c>
      <c r="D53" s="22">
        <f>vlookup(B53,Sheet3!B:D,3,0)</f>
        <v>37308</v>
      </c>
      <c r="E53" s="20" t="str">
        <f>vlookup(B53,Sheet3!B:F,5,0)</f>
        <v>Kediri</v>
      </c>
      <c r="F53" s="20" t="str">
        <f>vlookup(B53,Sheet3!B:H,7,0)</f>
        <v>SLTA</v>
      </c>
      <c r="G53" s="23" t="str">
        <f>vlookup(B53,Sheet3!B:I,8,0)</f>
        <v>081217248277</v>
      </c>
      <c r="H53" s="23" t="str">
        <f>vlookup(B53,Sheet3!B:J,9,0)</f>
        <v>imeldamito0612@gmail.com</v>
      </c>
      <c r="I53" s="24" t="s">
        <v>455</v>
      </c>
      <c r="J53" s="23" t="str">
        <f>vlookup(B53,Sheet2!B:D,3,0)</f>
        <v>UFO ELEKTRONIK KEDIRI</v>
      </c>
      <c r="K53" s="23" t="str">
        <f>vlookup(A53,Sheet2!A:E,5,0)</f>
        <v>KEDIRI</v>
      </c>
      <c r="L53" s="25">
        <f>VLOOKUP(B53,Sheet3!B:L,11,0)</f>
        <v>2980820818</v>
      </c>
      <c r="M53" s="32">
        <v>45692.0</v>
      </c>
      <c r="N53" s="26">
        <v>46266.0</v>
      </c>
      <c r="O53" s="32">
        <v>46265.0</v>
      </c>
      <c r="P53" s="23" t="str">
        <f>VLOOKUP(A53,Sheet2!A:F,6,0)</f>
        <v>SURABAYA</v>
      </c>
      <c r="Q53" s="24" t="s">
        <v>501</v>
      </c>
      <c r="R53" s="27" t="s">
        <v>505</v>
      </c>
      <c r="S53" s="28">
        <v>2743000.0</v>
      </c>
      <c r="T53" s="29">
        <v>1920100.0</v>
      </c>
      <c r="U53" s="30">
        <v>822900.0</v>
      </c>
      <c r="V53" s="23"/>
      <c r="W53" s="31">
        <v>2742806.0</v>
      </c>
      <c r="X53" s="31">
        <v>0.0</v>
      </c>
      <c r="Y53" s="31">
        <f t="shared" si="5"/>
        <v>2742806</v>
      </c>
    </row>
    <row r="54" ht="22.5" customHeight="1">
      <c r="A54" s="19" t="s">
        <v>952</v>
      </c>
      <c r="B54" s="20" t="s">
        <v>277</v>
      </c>
      <c r="C54" s="21" t="str">
        <f>vlookup(B54,Sheet3!B:C,2,0)</f>
        <v>Jl.lapang tanuwijaya situraja sumedang</v>
      </c>
      <c r="D54" s="22">
        <f>vlookup(B54,Sheet3!B:D,3,0)</f>
        <v>35874</v>
      </c>
      <c r="E54" s="20" t="str">
        <f>vlookup(B54,Sheet3!B:F,5,0)</f>
        <v>Sumedang</v>
      </c>
      <c r="F54" s="20" t="str">
        <f>vlookup(B54,Sheet3!B:H,7,0)</f>
        <v>SLTA</v>
      </c>
      <c r="G54" s="23" t="str">
        <f>vlookup(B54,Sheet3!B:I,8,0)</f>
        <v>082218621312</v>
      </c>
      <c r="H54" s="23" t="str">
        <f>vlookup(B54,Sheet3!B:J,9,0)</f>
        <v>Awdodotig@gmail.com</v>
      </c>
      <c r="I54" s="24" t="s">
        <v>1414</v>
      </c>
      <c r="J54" s="23" t="str">
        <f>vlookup(B54,Sheet2!B:D,3,0)</f>
        <v>HARTONO BANDUNG</v>
      </c>
      <c r="K54" s="23" t="str">
        <f>vlookup(A54,Sheet2!A:E,5,0)</f>
        <v>BANDUNG</v>
      </c>
      <c r="L54" s="25">
        <f>VLOOKUP(B54,Sheet3!B:L,11,0)</f>
        <v>2031154997</v>
      </c>
      <c r="M54" s="32"/>
      <c r="N54" s="32"/>
      <c r="O54" s="32"/>
      <c r="P54" s="23" t="str">
        <f>VLOOKUP(A54,Sheet2!A:F,6,0)</f>
        <v>BANDUNG</v>
      </c>
      <c r="Q54" s="24" t="s">
        <v>1428</v>
      </c>
      <c r="R54" s="27" t="s">
        <v>632</v>
      </c>
      <c r="S54" s="28">
        <v>4738000.0</v>
      </c>
      <c r="T54" s="29">
        <v>4738000.0</v>
      </c>
      <c r="U54" s="33"/>
      <c r="V54" s="23"/>
      <c r="W54" s="31"/>
      <c r="X54" s="31"/>
      <c r="Y54" s="65"/>
    </row>
    <row r="55" ht="22.5" customHeight="1">
      <c r="A55" s="19" t="s">
        <v>954</v>
      </c>
      <c r="B55" s="20" t="s">
        <v>519</v>
      </c>
      <c r="C55" s="21" t="str">
        <f>vlookup(B55,Sheet3!B:C,2,0)</f>
        <v>ombolata saloo</v>
      </c>
      <c r="D55" s="22">
        <f>vlookup(B55,Sheet3!B:D,3,0)</f>
        <v>36896</v>
      </c>
      <c r="E55" s="20" t="str">
        <f>vlookup(B55,Sheet3!B:F,5,0)</f>
        <v>nias</v>
      </c>
      <c r="F55" s="20" t="str">
        <f>vlookup(B55,Sheet3!B:H,7,0)</f>
        <v>SLTA</v>
      </c>
      <c r="G55" s="23" t="str">
        <f>vlookup(B55,Sheet3!B:I,8,0)</f>
        <v>081274956324</v>
      </c>
      <c r="H55" s="23" t="str">
        <f>vlookup(B55,Sheet3!B:J,9,0)</f>
        <v>intankristiani9@gmail.com</v>
      </c>
      <c r="I55" s="24" t="s">
        <v>455</v>
      </c>
      <c r="J55" s="23" t="str">
        <f>vlookup(B55,Sheet2!B:D,3,0)</f>
        <v>JACKSON'S HOMEWARE MARKET</v>
      </c>
      <c r="K55" s="23" t="str">
        <f>vlookup(A55,Sheet2!A:E,5,0)</f>
        <v>BATAM</v>
      </c>
      <c r="L55" s="25">
        <f>VLOOKUP(B55,Sheet3!B:L,11,0)</f>
        <v>8250436638</v>
      </c>
      <c r="M55" s="32">
        <v>45924.0</v>
      </c>
      <c r="N55" s="26">
        <v>46266.0</v>
      </c>
      <c r="O55" s="32">
        <v>46265.0</v>
      </c>
      <c r="P55" s="23" t="str">
        <f>VLOOKUP(A55,Sheet2!A:F,6,0)</f>
        <v>MEDAN</v>
      </c>
      <c r="Q55" s="24" t="s">
        <v>501</v>
      </c>
      <c r="R55" s="27" t="s">
        <v>505</v>
      </c>
      <c r="S55" s="28">
        <v>5358000.0</v>
      </c>
      <c r="T55" s="29">
        <v>3750600.0</v>
      </c>
      <c r="U55" s="30">
        <v>1607400.0</v>
      </c>
      <c r="V55" s="23"/>
      <c r="W55" s="31">
        <v>5357982.0</v>
      </c>
      <c r="X55" s="31">
        <v>0.0</v>
      </c>
      <c r="Y55" s="31">
        <f t="shared" ref="Y55:Y58" si="6">W55+X55</f>
        <v>5357982</v>
      </c>
    </row>
    <row r="56" ht="22.5" customHeight="1">
      <c r="A56" s="19" t="s">
        <v>956</v>
      </c>
      <c r="B56" s="20" t="s">
        <v>98</v>
      </c>
      <c r="C56" s="21" t="str">
        <f>vlookup(B56,Sheet3!B:C,2,0)</f>
        <v>Bukit Hartaco indah blok 1B </v>
      </c>
      <c r="D56" s="22">
        <f>vlookup(B56,Sheet3!B:D,3,0)</f>
        <v>32993</v>
      </c>
      <c r="E56" s="20" t="str">
        <f>vlookup(B56,Sheet3!B:F,5,0)</f>
        <v>Soppeng </v>
      </c>
      <c r="F56" s="20" t="str">
        <f>vlookup(B56,Sheet3!B:H,7,0)</f>
        <v>SLTA</v>
      </c>
      <c r="G56" s="23" t="str">
        <f>vlookup(B56,Sheet3!B:I,8,0)</f>
        <v>085346312661</v>
      </c>
      <c r="H56" s="23" t="str">
        <f>vlookup(B56,Sheet3!B:J,9,0)</f>
        <v>irmafitr3004@gmail.com</v>
      </c>
      <c r="I56" s="24" t="s">
        <v>455</v>
      </c>
      <c r="J56" s="23" t="str">
        <f>vlookup(B56,Sheet2!B:D,3,0)</f>
        <v>MAXI PERINTIS</v>
      </c>
      <c r="K56" s="23" t="str">
        <f>vlookup(A56,Sheet2!A:E,5,0)</f>
        <v>MAKASSAR</v>
      </c>
      <c r="L56" s="25" t="str">
        <f>VLOOKUP(B56,Sheet3!B:L,11,0)</f>
        <v>0251311616</v>
      </c>
      <c r="M56" s="32">
        <v>43440.0</v>
      </c>
      <c r="N56" s="26">
        <v>46266.0</v>
      </c>
      <c r="O56" s="32">
        <v>46265.0</v>
      </c>
      <c r="P56" s="23" t="str">
        <f>VLOOKUP(A56,Sheet2!A:F,6,0)</f>
        <v>MAKASSAR</v>
      </c>
      <c r="Q56" s="24" t="s">
        <v>501</v>
      </c>
      <c r="R56" s="27" t="s">
        <v>505</v>
      </c>
      <c r="S56" s="28">
        <v>4149000.0</v>
      </c>
      <c r="T56" s="29">
        <v>2904300.0</v>
      </c>
      <c r="U56" s="30">
        <v>1244700.0</v>
      </c>
      <c r="V56" s="23"/>
      <c r="W56" s="31">
        <v>4148179.0</v>
      </c>
      <c r="X56" s="31">
        <v>0.0</v>
      </c>
      <c r="Y56" s="31">
        <f t="shared" si="6"/>
        <v>4148179</v>
      </c>
    </row>
    <row r="57" ht="22.5" customHeight="1">
      <c r="A57" s="19" t="s">
        <v>958</v>
      </c>
      <c r="B57" s="20" t="s">
        <v>218</v>
      </c>
      <c r="C57" s="21" t="str">
        <f>vlookup(B57,Sheet3!B:C,2,0)</f>
        <v>KP BAROS RT 01 RW 02 DS BAROS KEC ARJASARI KAB BANDUNG</v>
      </c>
      <c r="D57" s="22">
        <f>vlookup(B57,Sheet3!B:D,3,0)</f>
        <v>34161</v>
      </c>
      <c r="E57" s="20" t="str">
        <f>vlookup(B57,Sheet3!B:F,5,0)</f>
        <v>BANDUNG</v>
      </c>
      <c r="F57" s="20" t="str">
        <f>vlookup(B57,Sheet3!B:H,7,0)</f>
        <v>SLTA</v>
      </c>
      <c r="G57" s="23" t="str">
        <f>vlookup(B57,Sheet3!B:I,8,0)</f>
        <v>088222510571</v>
      </c>
      <c r="H57" s="23" t="str">
        <f>vlookup(B57,Sheet3!B:J,9,0)</f>
        <v>arrafaizma@gmail.com</v>
      </c>
      <c r="I57" s="24" t="s">
        <v>455</v>
      </c>
      <c r="J57" s="23" t="str">
        <f>vlookup(B57,Sheet2!B:D,3,0)</f>
        <v>TOKO PANTES AGUNG (ONLINE)</v>
      </c>
      <c r="K57" s="23" t="str">
        <f>vlookup(A57,Sheet2!A:E,5,0)</f>
        <v>BANDUNG</v>
      </c>
      <c r="L57" s="25">
        <f>VLOOKUP(B57,Sheet3!B:L,11,0)</f>
        <v>7751764611</v>
      </c>
      <c r="M57" s="32">
        <v>46055.0</v>
      </c>
      <c r="N57" s="26">
        <v>46266.0</v>
      </c>
      <c r="O57" s="32">
        <v>46265.0</v>
      </c>
      <c r="P57" s="23" t="str">
        <f>VLOOKUP(A57,Sheet2!A:F,6,0)</f>
        <v>BANDUNG</v>
      </c>
      <c r="Q57" s="24" t="s">
        <v>501</v>
      </c>
      <c r="R57" s="27" t="s">
        <v>505</v>
      </c>
      <c r="S57" s="28">
        <v>4738000.0</v>
      </c>
      <c r="T57" s="29">
        <v>3316600.0</v>
      </c>
      <c r="U57" s="30">
        <v>1421400.0</v>
      </c>
      <c r="V57" s="23"/>
      <c r="W57" s="31">
        <v>4737678.0</v>
      </c>
      <c r="X57" s="31">
        <v>0.0</v>
      </c>
      <c r="Y57" s="31">
        <f t="shared" si="6"/>
        <v>4737678</v>
      </c>
    </row>
    <row r="58" ht="22.5" customHeight="1">
      <c r="A58" s="19" t="s">
        <v>960</v>
      </c>
      <c r="B58" s="20" t="s">
        <v>194</v>
      </c>
      <c r="C58" s="21" t="str">
        <f>vlookup(B58,Sheet3!B:C,2,0)</f>
        <v>Kp. Bojong Nangka No 32 Rt 001/008 Jati Rahayu, Pondok Melati, Bekasi</v>
      </c>
      <c r="D58" s="22">
        <f>vlookup(B58,Sheet3!B:D,3,0)</f>
        <v>33370</v>
      </c>
      <c r="E58" s="20" t="str">
        <f>vlookup(B58,Sheet3!B:F,5,0)</f>
        <v>Lebak Banten</v>
      </c>
      <c r="F58" s="20" t="str">
        <f>vlookup(B58,Sheet3!B:H,7,0)</f>
        <v>SLTA</v>
      </c>
      <c r="G58" s="23" t="str">
        <f>vlookup(B58,Sheet3!B:I,8,0)</f>
        <v>08567643486</v>
      </c>
      <c r="H58" s="23" t="str">
        <f>vlookup(B58,Sheet3!B:J,9,0)</f>
        <v>Jksupriatna92@gmail.com</v>
      </c>
      <c r="I58" s="24" t="s">
        <v>600</v>
      </c>
      <c r="J58" s="23" t="str">
        <f>vlookup(B58,Sheet2!B:D,3,0)</f>
        <v>MALL KELAPA GADING</v>
      </c>
      <c r="K58" s="23" t="str">
        <f>vlookup(A58,Sheet2!A:E,5,0)</f>
        <v>JAKARTA</v>
      </c>
      <c r="L58" s="25">
        <f>VLOOKUP(B58,Sheet3!B:L,11,0)</f>
        <v>6872083061</v>
      </c>
      <c r="M58" s="32">
        <v>44837.0</v>
      </c>
      <c r="N58" s="26">
        <v>46266.0</v>
      </c>
      <c r="O58" s="32">
        <v>46265.0</v>
      </c>
      <c r="P58" s="23" t="str">
        <f>VLOOKUP(A58,Sheet2!A:F,6,0)</f>
        <v>JAKARTA</v>
      </c>
      <c r="Q58" s="24" t="s">
        <v>501</v>
      </c>
      <c r="R58" s="27" t="s">
        <v>632</v>
      </c>
      <c r="S58" s="28">
        <v>5730000.0</v>
      </c>
      <c r="T58" s="29">
        <v>5730000.0</v>
      </c>
      <c r="U58" s="33"/>
      <c r="V58" s="23"/>
      <c r="W58" s="31">
        <v>5729876.0</v>
      </c>
      <c r="X58" s="31">
        <v>600000.0</v>
      </c>
      <c r="Y58" s="31">
        <f t="shared" si="6"/>
        <v>6329876</v>
      </c>
    </row>
    <row r="59" ht="22.5" customHeight="1">
      <c r="A59" s="19" t="s">
        <v>964</v>
      </c>
      <c r="B59" s="20" t="s">
        <v>966</v>
      </c>
      <c r="C59" s="21" t="str">
        <f>vlookup(B59,Sheet3!B:C,2,0)</f>
        <v>DUSUN V KAWANUA</v>
      </c>
      <c r="D59" s="22">
        <f>vlookup(B59,Sheet3!B:D,3,0)</f>
        <v>37416</v>
      </c>
      <c r="E59" s="20" t="str">
        <f>vlookup(B59,Sheet3!B:F,5,0)</f>
        <v>Palu</v>
      </c>
      <c r="F59" s="20" t="str">
        <f>vlookup(B59,Sheet3!B:H,7,0)</f>
        <v>SLTA</v>
      </c>
      <c r="G59" s="23" t="str">
        <f>vlookup(B59,Sheet3!B:I,8,0)</f>
        <v>082192047661</v>
      </c>
      <c r="H59" s="23" t="str">
        <f>vlookup(B59,Sheet3!B:J,9,0)</f>
        <v>juikerompis48@gmail.com</v>
      </c>
      <c r="I59" s="24" t="s">
        <v>455</v>
      </c>
      <c r="J59" s="23" t="str">
        <f>vlookup(B59,Sheet2!B:D,3,0)</f>
        <v>ANUGRAH JAYA PALU</v>
      </c>
      <c r="K59" s="23" t="str">
        <f>vlookup(A59,Sheet2!A:E,5,0)</f>
        <v>PALU</v>
      </c>
      <c r="L59" s="25">
        <f>VLOOKUP(B59,Sheet3!B:L,11,0)</f>
        <v>7795377255</v>
      </c>
      <c r="M59" s="32"/>
      <c r="N59" s="32"/>
      <c r="O59" s="32"/>
      <c r="P59" s="23" t="str">
        <f>VLOOKUP(A59,Sheet2!A:F,6,0)</f>
        <v>MAKASSAR</v>
      </c>
      <c r="Q59" s="24" t="s">
        <v>501</v>
      </c>
      <c r="R59" s="27" t="s">
        <v>505</v>
      </c>
      <c r="S59" s="28">
        <v>4149000.0</v>
      </c>
      <c r="T59" s="29">
        <v>2904300.0</v>
      </c>
      <c r="U59" s="30">
        <v>1244700.0</v>
      </c>
      <c r="V59" s="23"/>
      <c r="W59" s="31"/>
      <c r="X59" s="31"/>
      <c r="Y59" s="65"/>
    </row>
    <row r="60" ht="22.5" customHeight="1">
      <c r="A60" s="19" t="s">
        <v>969</v>
      </c>
      <c r="B60" s="20" t="s">
        <v>146</v>
      </c>
      <c r="C60" s="21" t="str">
        <f>vlookup(B60,Sheet3!B:C,2,0)</f>
        <v>Jl. Danau Rangas VII No. 32</v>
      </c>
      <c r="D60" s="22">
        <f>vlookup(B60,Sheet3!B:D,3,0)</f>
        <v>36349</v>
      </c>
      <c r="E60" s="20" t="str">
        <f>vlookup(B60,Sheet3!B:F,5,0)</f>
        <v>Palangkaraya</v>
      </c>
      <c r="F60" s="20" t="str">
        <f>vlookup(B60,Sheet3!B:H,7,0)</f>
        <v>SLTA</v>
      </c>
      <c r="G60" s="23" t="str">
        <f>vlookup(B60,Sheet3!B:I,8,0)</f>
        <v>083150001212</v>
      </c>
      <c r="H60" s="23" t="str">
        <f>vlookup(B60,Sheet3!B:J,9,0)</f>
        <v>Khoirunnisayuliana39@gmail.com</v>
      </c>
      <c r="I60" s="24" t="s">
        <v>455</v>
      </c>
      <c r="J60" s="23" t="str">
        <f>vlookup(B60,Sheet2!B:D,3,0)</f>
        <v>CENTRAL PLASTIK PALANGKARAYA</v>
      </c>
      <c r="K60" s="19" t="s">
        <v>1479</v>
      </c>
      <c r="L60" s="25">
        <f>VLOOKUP(B60,Sheet3!B:L,11,0)</f>
        <v>6575189966</v>
      </c>
      <c r="M60" s="32">
        <v>45835.0</v>
      </c>
      <c r="N60" s="26">
        <v>46266.0</v>
      </c>
      <c r="O60" s="32">
        <v>46265.0</v>
      </c>
      <c r="P60" s="23" t="str">
        <f>VLOOKUP(A60,Sheet2!A:F,6,0)</f>
        <v>BANJARMASIN</v>
      </c>
      <c r="Q60" s="24" t="s">
        <v>501</v>
      </c>
      <c r="R60" s="27" t="s">
        <v>505</v>
      </c>
      <c r="S60" s="28">
        <v>3725000.0</v>
      </c>
      <c r="T60" s="29">
        <v>2607500.0</v>
      </c>
      <c r="U60" s="30">
        <v>1117500.0</v>
      </c>
      <c r="V60" s="23"/>
      <c r="W60" s="31">
        <v>3686138.0</v>
      </c>
      <c r="X60" s="31">
        <v>0.0</v>
      </c>
      <c r="Y60" s="31">
        <f>W60+X60</f>
        <v>3686138</v>
      </c>
    </row>
    <row r="61" ht="22.5" customHeight="1">
      <c r="A61" s="19" t="s">
        <v>972</v>
      </c>
      <c r="B61" s="20" t="s">
        <v>973</v>
      </c>
      <c r="C61" s="21" t="str">
        <f>vlookup(B61,Sheet3!B:C,2,0)</f>
        <v>kp. cisabuk</v>
      </c>
      <c r="D61" s="22">
        <f>vlookup(B61,Sheet3!B:D,3,0)</f>
        <v>35981</v>
      </c>
      <c r="E61" s="20" t="str">
        <f>vlookup(B61,Sheet3!B:F,5,0)</f>
        <v>garut</v>
      </c>
      <c r="F61" s="20" t="str">
        <f>vlookup(B61,Sheet3!B:H,7,0)</f>
        <v>SLTA</v>
      </c>
      <c r="G61" s="23" t="str">
        <f>vlookup(B61,Sheet3!B:I,8,0)</f>
        <v>095172233040</v>
      </c>
      <c r="H61" s="23" t="str">
        <f>vlookup(B61,Sheet3!B:J,9,0)</f>
        <v>lilishidayati8@gmail.com</v>
      </c>
      <c r="I61" s="24" t="s">
        <v>455</v>
      </c>
      <c r="J61" s="23" t="str">
        <f>vlookup(B61,Sheet2!B:D,3,0)</f>
        <v>SINAR GUNTUR GARUT</v>
      </c>
      <c r="K61" s="23" t="str">
        <f>vlookup(A61,Sheet2!A:E,5,0)</f>
        <v>GARUT</v>
      </c>
      <c r="L61" s="25">
        <f>VLOOKUP(B61,Sheet3!B:L,11,0)</f>
        <v>1481886355</v>
      </c>
      <c r="M61" s="32"/>
      <c r="N61" s="32"/>
      <c r="O61" s="32"/>
      <c r="P61" s="23" t="str">
        <f>VLOOKUP(A61,Sheet2!A:F,6,0)</f>
        <v>BANDUNG</v>
      </c>
      <c r="Q61" s="24" t="s">
        <v>501</v>
      </c>
      <c r="R61" s="27" t="s">
        <v>505</v>
      </c>
      <c r="S61" s="28">
        <v>3973000.0</v>
      </c>
      <c r="T61" s="29">
        <v>2781100.0</v>
      </c>
      <c r="U61" s="30">
        <v>1191900.0</v>
      </c>
      <c r="V61" s="23"/>
      <c r="W61" s="31"/>
      <c r="X61" s="31"/>
      <c r="Y61" s="65"/>
    </row>
    <row r="62" ht="22.5" customHeight="1">
      <c r="A62" s="19" t="s">
        <v>976</v>
      </c>
      <c r="B62" s="20" t="s">
        <v>217</v>
      </c>
      <c r="C62" s="21" t="str">
        <f>vlookup(B62,Sheet3!B:C,2,0)</f>
        <v>PT MII RT/RW 001/005 Kel. Pamesi Kec. Bathin Solapan Kab. Bengkalis Riau</v>
      </c>
      <c r="D62" s="22">
        <f>vlookup(B62,Sheet3!B:D,3,0)</f>
        <v>37253</v>
      </c>
      <c r="E62" s="20" t="str">
        <f>vlookup(B62,Sheet3!B:F,5,0)</f>
        <v>Pasaman, Sumatera Barat</v>
      </c>
      <c r="F62" s="20" t="str">
        <f>vlookup(B62,Sheet3!B:H,7,0)</f>
        <v>SLTA</v>
      </c>
      <c r="G62" s="23" t="str">
        <f>vlookup(B62,Sheet3!B:I,8,0)</f>
        <v>082385625202</v>
      </c>
      <c r="H62" s="23" t="str">
        <f>vlookup(B62,Sheet3!B:J,9,0)</f>
        <v>liyanalita1120@gmail.com</v>
      </c>
      <c r="I62" s="24" t="s">
        <v>455</v>
      </c>
      <c r="J62" s="23" t="str">
        <f>vlookup(B62,Sheet2!B:D,3,0)</f>
        <v>TOKO ATRIA KELAPA GADING</v>
      </c>
      <c r="K62" s="23" t="str">
        <f>vlookup(A62,Sheet2!A:E,5,0)</f>
        <v>JAKARTA</v>
      </c>
      <c r="L62" s="25">
        <f>VLOOKUP(B62,Sheet3!B:L,11,0)</f>
        <v>8520379852</v>
      </c>
      <c r="M62" s="32">
        <v>45561.0</v>
      </c>
      <c r="N62" s="26">
        <v>46266.0</v>
      </c>
      <c r="O62" s="32">
        <v>46265.0</v>
      </c>
      <c r="P62" s="23" t="str">
        <f>VLOOKUP(A62,Sheet2!A:F,6,0)</f>
        <v>JAKARTA</v>
      </c>
      <c r="Q62" s="24" t="s">
        <v>501</v>
      </c>
      <c r="R62" s="27" t="s">
        <v>505</v>
      </c>
      <c r="S62" s="28">
        <v>5730000.0</v>
      </c>
      <c r="T62" s="29">
        <v>4011000.0</v>
      </c>
      <c r="U62" s="30">
        <v>1719000.0</v>
      </c>
      <c r="V62" s="23"/>
      <c r="W62" s="31">
        <v>5729876.0</v>
      </c>
      <c r="X62" s="31">
        <v>0.0</v>
      </c>
      <c r="Y62" s="31">
        <f t="shared" ref="Y62:Y78" si="7">W62+X62</f>
        <v>5729876</v>
      </c>
    </row>
    <row r="63" ht="22.5" customHeight="1">
      <c r="A63" s="19" t="s">
        <v>978</v>
      </c>
      <c r="B63" s="20" t="s">
        <v>202</v>
      </c>
      <c r="C63" s="21" t="str">
        <f>vlookup(B63,Sheet3!B:C,2,0)</f>
        <v>Simpang rt08 rw02</v>
      </c>
      <c r="D63" s="22">
        <f>vlookup(B63,Sheet3!B:D,3,0)</f>
        <v>38240</v>
      </c>
      <c r="E63" s="20" t="str">
        <f>vlookup(B63,Sheet3!B:F,5,0)</f>
        <v>Sidoarjo</v>
      </c>
      <c r="F63" s="20" t="str">
        <f>vlookup(B63,Sheet3!B:H,7,0)</f>
        <v>SLTA</v>
      </c>
      <c r="G63" s="23" t="str">
        <f>vlookup(B63,Sheet3!B:I,8,0)</f>
        <v>087845284320</v>
      </c>
      <c r="H63" s="23" t="str">
        <f>vlookup(B63,Sheet3!B:J,9,0)</f>
        <v>mamatmarda12@gmail.com</v>
      </c>
      <c r="I63" s="24" t="s">
        <v>1414</v>
      </c>
      <c r="J63" s="23" t="str">
        <f>vlookup(B63,Sheet2!B:D,3,0)</f>
        <v>HARTONO SIDOARJO</v>
      </c>
      <c r="K63" s="23" t="str">
        <f>vlookup(A63,Sheet2!A:E,5,0)</f>
        <v>SIDOARJO</v>
      </c>
      <c r="L63" s="25" t="str">
        <f>VLOOKUP(B63,Sheet3!B:L,11,0)</f>
        <v>0883073760</v>
      </c>
      <c r="M63" s="32">
        <v>46022.0</v>
      </c>
      <c r="N63" s="26">
        <v>46266.0</v>
      </c>
      <c r="O63" s="32">
        <v>46265.0</v>
      </c>
      <c r="P63" s="23" t="str">
        <f>VLOOKUP(A63,Sheet2!A:F,6,0)</f>
        <v>SURABAYA</v>
      </c>
      <c r="Q63" s="24" t="s">
        <v>501</v>
      </c>
      <c r="R63" s="27" t="s">
        <v>632</v>
      </c>
      <c r="S63" s="54"/>
      <c r="T63" s="29">
        <v>5192000.0</v>
      </c>
      <c r="U63" s="33"/>
      <c r="V63" s="23"/>
      <c r="W63" s="31">
        <v>5191541.0</v>
      </c>
      <c r="X63" s="31">
        <v>0.0</v>
      </c>
      <c r="Y63" s="31">
        <f t="shared" si="7"/>
        <v>5191541</v>
      </c>
    </row>
    <row r="64" ht="22.5" customHeight="1">
      <c r="A64" s="19" t="s">
        <v>981</v>
      </c>
      <c r="B64" s="20" t="s">
        <v>235</v>
      </c>
      <c r="C64" s="21" t="str">
        <f>vlookup(B64,Sheet3!B:C,2,0)</f>
        <v>Jl kedinding lor gg manggis no 26</v>
      </c>
      <c r="D64" s="22">
        <f>vlookup(B64,Sheet3!B:D,3,0)</f>
        <v>35129</v>
      </c>
      <c r="E64" s="20" t="str">
        <f>vlookup(B64,Sheet3!B:F,5,0)</f>
        <v>Tulungagung</v>
      </c>
      <c r="F64" s="20" t="str">
        <f>vlookup(B64,Sheet3!B:H,7,0)</f>
        <v>SLTA</v>
      </c>
      <c r="G64" s="23" t="str">
        <f>vlookup(B64,Sheet3!B:I,8,0)</f>
        <v>089502456598</v>
      </c>
      <c r="H64" s="23" t="str">
        <f>vlookup(B64,Sheet3!B:J,9,0)</f>
        <v>marnidwiw@gmail.com</v>
      </c>
      <c r="I64" s="24" t="s">
        <v>455</v>
      </c>
      <c r="J64" s="23" t="str">
        <f>vlookup(B64,Sheet2!B:D,3,0)</f>
        <v>UFO KERTAJAYA</v>
      </c>
      <c r="K64" s="23" t="str">
        <f>vlookup(A64,Sheet2!A:E,5,0)</f>
        <v>SURABAYA</v>
      </c>
      <c r="L64" s="25">
        <f>VLOOKUP(B64,Sheet3!B:L,11,0)</f>
        <v>1011824809</v>
      </c>
      <c r="M64" s="32">
        <v>46084.0</v>
      </c>
      <c r="N64" s="26">
        <v>46266.0</v>
      </c>
      <c r="O64" s="32">
        <v>46265.0</v>
      </c>
      <c r="P64" s="23" t="str">
        <f>VLOOKUP(A64,Sheet2!A:F,6,0)</f>
        <v>SURABAYA</v>
      </c>
      <c r="Q64" s="24" t="s">
        <v>501</v>
      </c>
      <c r="R64" s="27" t="s">
        <v>505</v>
      </c>
      <c r="S64" s="28">
        <v>5289000.0</v>
      </c>
      <c r="T64" s="29">
        <v>3702300.0</v>
      </c>
      <c r="U64" s="30">
        <v>1586700.0</v>
      </c>
      <c r="V64" s="23"/>
      <c r="W64" s="31">
        <v>5288796.0</v>
      </c>
      <c r="X64" s="31">
        <v>0.0</v>
      </c>
      <c r="Y64" s="31">
        <f t="shared" si="7"/>
        <v>5288796</v>
      </c>
    </row>
    <row r="65" ht="22.5" customHeight="1">
      <c r="A65" s="19" t="s">
        <v>983</v>
      </c>
      <c r="B65" s="20" t="s">
        <v>193</v>
      </c>
      <c r="C65" s="21" t="str">
        <f>vlookup(B65,Sheet3!B:C,2,0)</f>
        <v>Jln Satam Dalam RT.009/003 Kel.Semabung Baru Kec. Girimaya Kota Pangkalpinang</v>
      </c>
      <c r="D65" s="22">
        <f>vlookup(B65,Sheet3!B:D,3,0)</f>
        <v>33667</v>
      </c>
      <c r="E65" s="20" t="str">
        <f>vlookup(B65,Sheet3!B:F,5,0)</f>
        <v>Pangkalpinang </v>
      </c>
      <c r="F65" s="20" t="str">
        <f>vlookup(B65,Sheet3!B:H,7,0)</f>
        <v>SLTA</v>
      </c>
      <c r="G65" s="23" t="str">
        <f>vlookup(B65,Sheet3!B:I,8,0)</f>
        <v>081995357575</v>
      </c>
      <c r="H65" s="23" t="str">
        <f>vlookup(B65,Sheet3!B:J,9,0)</f>
        <v>crewnyek@gmail.com</v>
      </c>
      <c r="I65" s="24" t="s">
        <v>1976</v>
      </c>
      <c r="J65" s="23" t="str">
        <f>vlookup(B65,Sheet2!B:D,3,0)</f>
        <v>MITO - SALES B2B</v>
      </c>
      <c r="K65" s="23" t="str">
        <f>vlookup(A65,Sheet2!A:E,5,0)</f>
        <v>BANGKA</v>
      </c>
      <c r="L65" s="25">
        <f>VLOOKUP(B65,Sheet3!B:L,11,0)</f>
        <v>8535125917</v>
      </c>
      <c r="M65" s="32">
        <f>vlookup(B65,'data staffinc_3'!B:I,7,0)</f>
        <v>46027</v>
      </c>
      <c r="N65" s="26">
        <v>46266.0</v>
      </c>
      <c r="O65" s="32">
        <f>vlookup(B65,'data staffinc_3'!B:I,8,0)</f>
        <v>46265</v>
      </c>
      <c r="P65" s="23" t="str">
        <f>VLOOKUP(A65,Sheet2!A:F,6,0)</f>
        <v>PALEMBANG</v>
      </c>
      <c r="Q65" s="24" t="s">
        <v>501</v>
      </c>
      <c r="R65" s="27" t="s">
        <v>632</v>
      </c>
      <c r="S65" s="83"/>
      <c r="T65" s="84">
        <f>Y65</f>
        <v>4485000</v>
      </c>
      <c r="U65" s="33"/>
      <c r="V65" s="23"/>
      <c r="W65" s="31">
        <v>4035000.0</v>
      </c>
      <c r="X65" s="31">
        <v>450000.0</v>
      </c>
      <c r="Y65" s="31">
        <f t="shared" si="7"/>
        <v>4485000</v>
      </c>
    </row>
    <row r="66" ht="22.5" customHeight="1">
      <c r="A66" s="19" t="s">
        <v>989</v>
      </c>
      <c r="B66" s="20" t="s">
        <v>186</v>
      </c>
      <c r="C66" s="21" t="str">
        <f>vlookup(B66,Sheet3!B:C,2,0)</f>
        <v>Jln damai gg 4</v>
      </c>
      <c r="D66" s="22">
        <f>vlookup(B66,Sheet3!B:D,3,0)</f>
        <v>38831</v>
      </c>
      <c r="E66" s="20" t="str">
        <f>vlookup(B66,Sheet3!B:F,5,0)</f>
        <v>Samarinda </v>
      </c>
      <c r="F66" s="20" t="str">
        <f>vlookup(B66,Sheet3!B:H,7,0)</f>
        <v>SLTA</v>
      </c>
      <c r="G66" s="23" t="str">
        <f>vlookup(B66,Sheet3!B:I,8,0)</f>
        <v>085349514526</v>
      </c>
      <c r="H66" s="23" t="str">
        <f>vlookup(B66,Sheet3!B:J,9,0)</f>
        <v>yanihama2415@gmail.com</v>
      </c>
      <c r="I66" s="24" t="s">
        <v>455</v>
      </c>
      <c r="J66" s="23" t="str">
        <f>vlookup(B66,Sheet2!B:D,3,0)</f>
        <v>NUANSA MATOS SAMARINDA</v>
      </c>
      <c r="K66" s="23" t="str">
        <f>vlookup(A66,Sheet2!A:E,5,0)</f>
        <v>SAMARINDA</v>
      </c>
      <c r="L66" s="25">
        <f>VLOOKUP(B66,Sheet3!B:L,11,0)</f>
        <v>6585260766</v>
      </c>
      <c r="M66" s="32">
        <v>46002.0</v>
      </c>
      <c r="N66" s="26">
        <v>46266.0</v>
      </c>
      <c r="O66" s="32">
        <v>46265.0</v>
      </c>
      <c r="P66" s="23" t="str">
        <f>VLOOKUP(A66,Sheet2!A:F,6,0)</f>
        <v>SAMARINDA</v>
      </c>
      <c r="Q66" s="24" t="s">
        <v>501</v>
      </c>
      <c r="R66" s="27" t="s">
        <v>505</v>
      </c>
      <c r="S66" s="28">
        <v>3984000.0</v>
      </c>
      <c r="T66" s="29">
        <v>2788800.0</v>
      </c>
      <c r="U66" s="30">
        <v>1195200.0</v>
      </c>
      <c r="V66" s="19" t="s">
        <v>520</v>
      </c>
      <c r="W66" s="31">
        <v>3983882.0</v>
      </c>
      <c r="X66" s="31">
        <v>0.0</v>
      </c>
      <c r="Y66" s="31">
        <f t="shared" si="7"/>
        <v>3983882</v>
      </c>
    </row>
    <row r="67" ht="22.5" customHeight="1">
      <c r="A67" s="19" t="s">
        <v>992</v>
      </c>
      <c r="B67" s="20" t="s">
        <v>476</v>
      </c>
      <c r="C67" s="21" t="str">
        <f>vlookup(B67,Sheet3!B:C,2,0)</f>
        <v>Jln.Milono Gg.Husada</v>
      </c>
      <c r="D67" s="22">
        <f>vlookup(B67,Sheet3!B:D,3,0)</f>
        <v>39075</v>
      </c>
      <c r="E67" s="20" t="str">
        <f>vlookup(B67,Sheet3!B:F,5,0)</f>
        <v>Berau</v>
      </c>
      <c r="F67" s="20" t="str">
        <f>vlookup(B67,Sheet3!B:H,7,0)</f>
        <v>SLTA</v>
      </c>
      <c r="G67" s="23" t="str">
        <f>vlookup(B67,Sheet3!B:I,8,0)</f>
        <v>082353675726</v>
      </c>
      <c r="H67" s="23" t="str">
        <f>vlookup(B67,Sheet3!B:J,9,0)</f>
        <v>merlianianissa1224@gmail.com</v>
      </c>
      <c r="I67" s="24" t="s">
        <v>455</v>
      </c>
      <c r="J67" s="23" t="str">
        <f>vlookup(B67,Sheet2!B:D,3,0)</f>
        <v>NUANSA BERAU</v>
      </c>
      <c r="K67" s="19" t="s">
        <v>1768</v>
      </c>
      <c r="L67" s="25">
        <f>VLOOKUP(B67,Sheet3!B:L,11,0)</f>
        <v>8605464803</v>
      </c>
      <c r="M67" s="32">
        <v>45817.0</v>
      </c>
      <c r="N67" s="26">
        <v>46266.0</v>
      </c>
      <c r="O67" s="32">
        <v>46265.0</v>
      </c>
      <c r="P67" s="23" t="str">
        <f>VLOOKUP(A67,Sheet2!A:F,6,0)</f>
        <v>SAMARINDA</v>
      </c>
      <c r="Q67" s="24" t="s">
        <v>501</v>
      </c>
      <c r="R67" s="27" t="s">
        <v>505</v>
      </c>
      <c r="S67" s="28">
        <v>4392000.0</v>
      </c>
      <c r="T67" s="29">
        <v>3074400.0</v>
      </c>
      <c r="U67" s="30">
        <v>1317600.0</v>
      </c>
      <c r="V67" s="23"/>
      <c r="W67" s="31">
        <v>4391337.0</v>
      </c>
      <c r="X67" s="31">
        <v>0.0</v>
      </c>
      <c r="Y67" s="31">
        <f t="shared" si="7"/>
        <v>4391337</v>
      </c>
    </row>
    <row r="68" ht="22.5" customHeight="1">
      <c r="A68" s="19" t="s">
        <v>995</v>
      </c>
      <c r="B68" s="20" t="s">
        <v>346</v>
      </c>
      <c r="C68" s="21" t="str">
        <f>vlookup(B68,Sheet3!B:C,2,0)</f>
        <v>Jln. Jamin ginting no. 113</v>
      </c>
      <c r="D68" s="22">
        <f>vlookup(B68,Sheet3!B:D,3,0)</f>
        <v>35104</v>
      </c>
      <c r="E68" s="20" t="str">
        <f>vlookup(B68,Sheet3!B:F,5,0)</f>
        <v>Nias</v>
      </c>
      <c r="F68" s="20" t="str">
        <f>vlookup(B68,Sheet3!B:H,7,0)</f>
        <v>S1</v>
      </c>
      <c r="G68" s="23" t="str">
        <f>vlookup(B68,Sheet3!B:I,8,0)</f>
        <v>081318812178</v>
      </c>
      <c r="H68" s="23" t="str">
        <f>vlookup(B68,Sheet3!B:J,9,0)</f>
        <v>mesrawatilase01@gmail.com</v>
      </c>
      <c r="I68" s="24" t="s">
        <v>455</v>
      </c>
      <c r="J68" s="23" t="str">
        <f>vlookup(B68,Sheet2!B:D,3,0)</f>
        <v>IRAMA HOUSEWARE</v>
      </c>
      <c r="K68" s="23" t="str">
        <f>vlookup(A68,Sheet2!A:E,5,0)</f>
        <v>MEDAN</v>
      </c>
      <c r="L68" s="25">
        <f>VLOOKUP(B68,Sheet3!B:L,11,0)</f>
        <v>8205655901</v>
      </c>
      <c r="M68" s="32">
        <v>45541.0</v>
      </c>
      <c r="N68" s="26">
        <v>46266.0</v>
      </c>
      <c r="O68" s="32">
        <v>46265.0</v>
      </c>
      <c r="P68" s="23" t="str">
        <f>VLOOKUP(A68,Sheet2!A:F,6,0)</f>
        <v>MEDAN</v>
      </c>
      <c r="Q68" s="24" t="s">
        <v>501</v>
      </c>
      <c r="R68" s="27" t="s">
        <v>505</v>
      </c>
      <c r="S68" s="28">
        <v>4336000.0</v>
      </c>
      <c r="T68" s="29">
        <v>3035200.0</v>
      </c>
      <c r="U68" s="30">
        <v>1300800.0</v>
      </c>
      <c r="V68" s="23"/>
      <c r="W68" s="31">
        <v>4335198.0</v>
      </c>
      <c r="X68" s="31">
        <v>0.0</v>
      </c>
      <c r="Y68" s="31">
        <f t="shared" si="7"/>
        <v>4335198</v>
      </c>
    </row>
    <row r="69" ht="22.5" customHeight="1">
      <c r="A69" s="19" t="s">
        <v>998</v>
      </c>
      <c r="B69" s="20" t="s">
        <v>119</v>
      </c>
      <c r="C69" s="21" t="str">
        <f>vlookup(B69,Sheet3!B:C,2,0)</f>
        <v>Jl.Arismunandar 7a/821</v>
      </c>
      <c r="D69" s="22">
        <f>vlookup(B69,Sheet3!B:D,3,0)</f>
        <v>30067</v>
      </c>
      <c r="E69" s="20" t="str">
        <f>vlookup(B69,Sheet3!B:F,5,0)</f>
        <v>MALANG</v>
      </c>
      <c r="F69" s="20" t="str">
        <f>vlookup(B69,Sheet3!B:H,7,0)</f>
        <v>SLTA</v>
      </c>
      <c r="G69" s="23" t="str">
        <f>vlookup(B69,Sheet3!B:I,8,0)</f>
        <v>081252153824</v>
      </c>
      <c r="H69" s="23" t="str">
        <f>vlookup(B69,Sheet3!B:J,9,0)</f>
        <v>abdi.akbarr@gmail.com</v>
      </c>
      <c r="I69" s="24" t="s">
        <v>455</v>
      </c>
      <c r="J69" s="23" t="str">
        <f>vlookup(B69,Sheet2!B:D,3,0)</f>
        <v>OGAN BANDULAN &amp; OGAN BONDOWOSO</v>
      </c>
      <c r="K69" s="19" t="s">
        <v>126</v>
      </c>
      <c r="L69" s="25">
        <f>VLOOKUP(B69,Sheet3!B:L,11,0)</f>
        <v>8161203041</v>
      </c>
      <c r="M69" s="32">
        <f>vlookup(B69,'data staffinc_3'!B:I,7,0)</f>
        <v>43374</v>
      </c>
      <c r="N69" s="26">
        <v>46266.0</v>
      </c>
      <c r="O69" s="32">
        <f>vlookup(B69,'data staffinc_3'!B:I,8,0)</f>
        <v>46265</v>
      </c>
      <c r="P69" s="23" t="str">
        <f>VLOOKUP(A69,Sheet2!A:F,6,0)</f>
        <v>SURABAYA</v>
      </c>
      <c r="Q69" s="24" t="s">
        <v>501</v>
      </c>
      <c r="R69" s="27" t="s">
        <v>505</v>
      </c>
      <c r="S69" s="28">
        <v>5289000.0</v>
      </c>
      <c r="T69" s="29">
        <v>3702300.0</v>
      </c>
      <c r="U69" s="30">
        <v>1586700.0</v>
      </c>
      <c r="V69" s="23"/>
      <c r="W69" s="31">
        <v>5288796.0</v>
      </c>
      <c r="X69" s="31">
        <v>0.0</v>
      </c>
      <c r="Y69" s="31">
        <f t="shared" si="7"/>
        <v>5288796</v>
      </c>
    </row>
    <row r="70" ht="22.5" customHeight="1">
      <c r="A70" s="19" t="s">
        <v>1001</v>
      </c>
      <c r="B70" s="20" t="s">
        <v>743</v>
      </c>
      <c r="C70" s="21" t="str">
        <f>vlookup(B70,Sheet3!B:C,2,0)</f>
        <v>Kp curugaru RT/RW : 001/001 Kel, Kadugembong Kec, kaduhejo kab Pandeglang Banten </v>
      </c>
      <c r="D70" s="22">
        <f>vlookup(B70,Sheet3!B:D,3,0)</f>
        <v>37975</v>
      </c>
      <c r="E70" s="20" t="str">
        <f>vlookup(B70,Sheet3!B:F,5,0)</f>
        <v>Pandeglang </v>
      </c>
      <c r="F70" s="20" t="str">
        <f>vlookup(B70,Sheet3!B:H,7,0)</f>
        <v>SLTA</v>
      </c>
      <c r="G70" s="23" t="str">
        <f>vlookup(B70,Sheet3!B:I,8,0)</f>
        <v>085774109821</v>
      </c>
      <c r="H70" s="23" t="str">
        <f>vlookup(B70,Sheet3!B:J,9,0)</f>
        <v>iyann201203@gmail.com</v>
      </c>
      <c r="I70" s="77" t="str">
        <f>vlookup(A70,Sheet2!A:E,3,0)</f>
        <v>GTM</v>
      </c>
      <c r="J70" s="23" t="str">
        <f>vlookup(B70,Sheet2!B:D,3,0)</f>
        <v>Toko Senyum 5000 BSD Tangerang</v>
      </c>
      <c r="K70" s="23" t="str">
        <f>vlookup(A70,Sheet2!A:E,5,0)</f>
        <v>JAKARTA</v>
      </c>
      <c r="L70" s="25">
        <f>VLOOKUP(B70,Sheet3!B:L,11,0)</f>
        <v>7125610072</v>
      </c>
      <c r="M70" s="32">
        <f>vlookup(B70,'data staffinc_3'!B:I,7,0)</f>
        <v>45236</v>
      </c>
      <c r="N70" s="26">
        <v>46266.0</v>
      </c>
      <c r="O70" s="32">
        <f>vlookup(B70,'data staffinc_3'!B:I,8,0)</f>
        <v>46265</v>
      </c>
      <c r="P70" s="23" t="str">
        <f>VLOOKUP(A70,Sheet2!A:F,6,0)</f>
        <v>JAKARTA</v>
      </c>
      <c r="Q70" s="24" t="s">
        <v>501</v>
      </c>
      <c r="R70" s="27" t="s">
        <v>632</v>
      </c>
      <c r="S70" s="28">
        <v>5730000.0</v>
      </c>
      <c r="T70" s="29">
        <v>5730000.0</v>
      </c>
      <c r="U70" s="33"/>
      <c r="V70" s="23"/>
      <c r="W70" s="31">
        <v>5247870.0</v>
      </c>
      <c r="X70" s="31">
        <v>330000.0</v>
      </c>
      <c r="Y70" s="31">
        <f t="shared" si="7"/>
        <v>5577870</v>
      </c>
    </row>
    <row r="71" ht="22.5" customHeight="1">
      <c r="A71" s="19" t="s">
        <v>1005</v>
      </c>
      <c r="B71" s="20" t="s">
        <v>204</v>
      </c>
      <c r="C71" s="21" t="str">
        <f>vlookup(B71,Sheet3!B:C,2,0)</f>
        <v>Kalirejo RT.003/ RW.004</v>
      </c>
      <c r="D71" s="22">
        <f>vlookup(B71,Sheet3!B:D,3,0)</f>
        <v>35307</v>
      </c>
      <c r="E71" s="20" t="str">
        <f>vlookup(B71,Sheet3!B:F,5,0)</f>
        <v>Kudus</v>
      </c>
      <c r="F71" s="20" t="str">
        <f>vlookup(B71,Sheet3!B:H,7,0)</f>
        <v>SLTA</v>
      </c>
      <c r="G71" s="23">
        <f>vlookup(B71,Sheet3!B:I,8,0)</f>
        <v>6285736181145</v>
      </c>
      <c r="H71" s="23" t="str">
        <f>vlookup(B71,Sheet3!B:J,9,0)</f>
        <v>mohammadhidayat190@gmail.com</v>
      </c>
      <c r="I71" s="24" t="s">
        <v>455</v>
      </c>
      <c r="J71" s="23" t="str">
        <f>vlookup(B71,Sheet2!B:D,3,0)</f>
        <v>TOKO DEPO MURAH JAYA SENTOSA KUDUS</v>
      </c>
      <c r="K71" s="23" t="str">
        <f>vlookup(A71,Sheet2!A:E,5,0)</f>
        <v>KUDUS</v>
      </c>
      <c r="L71" s="25"/>
      <c r="M71" s="32">
        <v>46034.0</v>
      </c>
      <c r="N71" s="26">
        <v>46266.0</v>
      </c>
      <c r="O71" s="32">
        <v>46265.0</v>
      </c>
      <c r="P71" s="23" t="str">
        <f>VLOOKUP(A71,Sheet2!A:F,6,0)</f>
        <v>SEMARANG</v>
      </c>
      <c r="Q71" s="24" t="s">
        <v>501</v>
      </c>
      <c r="R71" s="27" t="s">
        <v>505</v>
      </c>
      <c r="S71" s="28">
        <v>2819000.0</v>
      </c>
      <c r="T71" s="29">
        <v>1973300.0</v>
      </c>
      <c r="U71" s="30">
        <v>845700.0</v>
      </c>
      <c r="V71" s="23"/>
      <c r="W71" s="31">
        <v>2818585.0</v>
      </c>
      <c r="X71" s="31">
        <v>0.0</v>
      </c>
      <c r="Y71" s="31">
        <f t="shared" si="7"/>
        <v>2818585</v>
      </c>
    </row>
    <row r="72" ht="22.5" customHeight="1">
      <c r="A72" s="19" t="s">
        <v>1008</v>
      </c>
      <c r="B72" s="20" t="s">
        <v>439</v>
      </c>
      <c r="C72" s="21" t="str">
        <f>vlookup(B72,Sheet3!B:C,2,0)</f>
        <v>Jl giri rejo 1 km 15</v>
      </c>
      <c r="D72" s="22">
        <f>vlookup(B72,Sheet3!B:D,3,0)</f>
        <v>37775</v>
      </c>
      <c r="E72" s="20" t="str">
        <f>vlookup(B72,Sheet3!B:F,5,0)</f>
        <v>Balikpapan </v>
      </c>
      <c r="F72" s="20" t="str">
        <f>vlookup(B72,Sheet3!B:H,7,0)</f>
        <v>SLTA</v>
      </c>
      <c r="G72" s="23" t="str">
        <f>vlookup(B72,Sheet3!B:I,8,0)</f>
        <v>087756414360</v>
      </c>
      <c r="H72" s="23" t="str">
        <f>vlookup(B72,Sheet3!B:J,9,0)</f>
        <v>fnur22037@gmail.com</v>
      </c>
      <c r="I72" s="24" t="s">
        <v>455</v>
      </c>
      <c r="J72" s="23" t="str">
        <f>vlookup(B72,Sheet2!B:D,3,0)</f>
        <v>SURYA JAYA BALIKPAPAN</v>
      </c>
      <c r="K72" s="23" t="str">
        <f>vlookup(A72,Sheet2!A:E,5,0)</f>
        <v>BALIKPAPAN</v>
      </c>
      <c r="L72" s="25">
        <f>VLOOKUP(B72,Sheet3!B:L,11,0)</f>
        <v>6965360526</v>
      </c>
      <c r="M72" s="32">
        <f>vlookup(B72,'data staffinc_3'!B:I,7,0)</f>
        <v>45761</v>
      </c>
      <c r="N72" s="26">
        <v>46266.0</v>
      </c>
      <c r="O72" s="32">
        <f>vlookup(B72,'data staffinc_3'!B:I,8,0)</f>
        <v>46265</v>
      </c>
      <c r="P72" s="23" t="str">
        <f>VLOOKUP(A72,Sheet2!A:F,6,0)</f>
        <v>SAMARINDA</v>
      </c>
      <c r="Q72" s="24" t="s">
        <v>501</v>
      </c>
      <c r="R72" s="27" t="s">
        <v>505</v>
      </c>
      <c r="S72" s="28">
        <v>3857000.0</v>
      </c>
      <c r="T72" s="29">
        <v>2699900.0</v>
      </c>
      <c r="U72" s="30">
        <v>1157100.0</v>
      </c>
      <c r="V72" s="23"/>
      <c r="W72" s="31">
        <v>3856694.0</v>
      </c>
      <c r="X72" s="31">
        <v>0.0</v>
      </c>
      <c r="Y72" s="31">
        <f t="shared" si="7"/>
        <v>3856694</v>
      </c>
    </row>
    <row r="73" ht="22.5" customHeight="1">
      <c r="A73" s="19" t="s">
        <v>1011</v>
      </c>
      <c r="B73" s="20" t="s">
        <v>578</v>
      </c>
      <c r="C73" s="21" t="str">
        <f>vlookup(B73,Sheet3!B:C,2,0)</f>
        <v>DSN. GROPYOK, DS. TANON, RT/RW : 002/003, KEC. PAPAR, KAB. KEDIRI</v>
      </c>
      <c r="D73" s="22">
        <f>vlookup(B73,Sheet3!B:D,3,0)</f>
        <v>37492</v>
      </c>
      <c r="E73" s="20" t="str">
        <f>vlookup(B73,Sheet3!B:F,5,0)</f>
        <v>KEDIRI </v>
      </c>
      <c r="F73" s="20" t="str">
        <f>vlookup(B73,Sheet3!B:H,7,0)</f>
        <v>S1</v>
      </c>
      <c r="G73" s="23" t="str">
        <f>vlookup(B73,Sheet3!B:I,8,0)</f>
        <v>081335885943</v>
      </c>
      <c r="H73" s="23" t="str">
        <f>vlookup(B73,Sheet3!B:J,9,0)</f>
        <v>moyyustiwa24@gmail.com</v>
      </c>
      <c r="I73" s="24" t="s">
        <v>1414</v>
      </c>
      <c r="J73" s="23" t="str">
        <f>vlookup(B73,Sheet2!B:D,3,0)</f>
        <v>HARTONO BG JUNCTION</v>
      </c>
      <c r="K73" s="23" t="str">
        <f>vlookup(A73,Sheet2!A:E,5,0)</f>
        <v>SURABAYA</v>
      </c>
      <c r="L73" s="25">
        <f>VLOOKUP(B73,Sheet3!B:L,11,0)</f>
        <v>6123069515</v>
      </c>
      <c r="M73" s="32">
        <f>vlookup(B73,'data staffinc_3'!B:I,7,0)</f>
        <v>46022</v>
      </c>
      <c r="N73" s="26">
        <v>46266.0</v>
      </c>
      <c r="O73" s="32">
        <f>vlookup(B73,'data staffinc_3'!B:I,8,0)</f>
        <v>46265</v>
      </c>
      <c r="P73" s="23" t="str">
        <f>VLOOKUP(A73,Sheet2!A:F,6,0)</f>
        <v>SURABAYA</v>
      </c>
      <c r="Q73" s="24" t="s">
        <v>501</v>
      </c>
      <c r="R73" s="27" t="s">
        <v>632</v>
      </c>
      <c r="S73" s="28">
        <v>5289000.0</v>
      </c>
      <c r="T73" s="29">
        <v>5289000.0</v>
      </c>
      <c r="U73" s="33"/>
      <c r="V73" s="23"/>
      <c r="W73" s="31">
        <v>5288796.0</v>
      </c>
      <c r="X73" s="31">
        <v>0.0</v>
      </c>
      <c r="Y73" s="31">
        <f t="shared" si="7"/>
        <v>5288796</v>
      </c>
    </row>
    <row r="74" ht="22.5" customHeight="1">
      <c r="A74" s="19" t="s">
        <v>1013</v>
      </c>
      <c r="B74" s="20" t="s">
        <v>270</v>
      </c>
      <c r="C74" s="21" t="str">
        <f>vlookup(B74,Sheet3!B:C,2,0)</f>
        <v>Polejiwa</v>
      </c>
      <c r="D74" s="22">
        <f>vlookup(B74,Sheet3!B:D,3,0)</f>
        <v>37599</v>
      </c>
      <c r="E74" s="20" t="str">
        <f>vlookup(B74,Sheet3!B:F,5,0)</f>
        <v>Barru</v>
      </c>
      <c r="F74" s="20" t="str">
        <f>vlookup(B74,Sheet3!B:H,7,0)</f>
        <v>SLTA</v>
      </c>
      <c r="G74" s="23" t="str">
        <f>vlookup(B74,Sheet3!B:I,8,0)</f>
        <v>087890300301</v>
      </c>
      <c r="H74" s="23" t="str">
        <f>vlookup(B74,Sheet3!B:J,9,0)</f>
        <v>Muallinglim@gmail.com</v>
      </c>
      <c r="I74" s="24" t="s">
        <v>455</v>
      </c>
      <c r="J74" s="23" t="str">
        <f>vlookup(B74,Sheet2!B:D,3,0)</f>
        <v>ALASKA</v>
      </c>
      <c r="K74" s="23" t="str">
        <f>vlookup(A74,Sheet2!A:E,5,0)</f>
        <v>MAKASSAR</v>
      </c>
      <c r="L74" s="25">
        <f>VLOOKUP(B74,Sheet3!B:L,11,0)</f>
        <v>8260425260</v>
      </c>
      <c r="M74" s="32">
        <v>46198.0</v>
      </c>
      <c r="N74" s="26">
        <v>46266.0</v>
      </c>
      <c r="O74" s="32">
        <v>46265.0</v>
      </c>
      <c r="P74" s="23" t="str">
        <f>VLOOKUP(A74,Sheet2!A:F,6,0)</f>
        <v>MAKASSAR</v>
      </c>
      <c r="Q74" s="24" t="s">
        <v>501</v>
      </c>
      <c r="R74" s="27" t="s">
        <v>505</v>
      </c>
      <c r="S74" s="28">
        <v>4149000.0</v>
      </c>
      <c r="T74" s="29">
        <v>2904300.0</v>
      </c>
      <c r="U74" s="30">
        <v>1244700.0</v>
      </c>
      <c r="V74" s="23"/>
      <c r="W74" s="31">
        <v>4148179.0</v>
      </c>
      <c r="X74" s="31">
        <v>0.0</v>
      </c>
      <c r="Y74" s="31">
        <f t="shared" si="7"/>
        <v>4148179</v>
      </c>
    </row>
    <row r="75" ht="22.5" customHeight="1">
      <c r="A75" s="19" t="s">
        <v>1015</v>
      </c>
      <c r="B75" s="20" t="s">
        <v>276</v>
      </c>
      <c r="C75" s="21" t="str">
        <f>vlookup(B75,Sheet3!B:C,2,0)</f>
        <v>SIDOTOPO JAYA 2/2</v>
      </c>
      <c r="D75" s="22">
        <f>vlookup(B75,Sheet3!B:D,3,0)</f>
        <v>35920</v>
      </c>
      <c r="E75" s="20" t="str">
        <f>vlookup(B75,Sheet3!B:F,5,0)</f>
        <v>SURABAYA</v>
      </c>
      <c r="F75" s="20" t="str">
        <f>vlookup(B75,Sheet3!B:H,7,0)</f>
        <v>SLTA</v>
      </c>
      <c r="G75" s="23" t="str">
        <f>vlookup(B75,Sheet3!B:I,8,0)</f>
        <v>081235805598</v>
      </c>
      <c r="H75" s="23" t="str">
        <f>vlookup(B75,Sheet3!B:J,9,0)</f>
        <v>hafrizalmuhammad@gmail.com</v>
      </c>
      <c r="I75" s="24" t="s">
        <v>600</v>
      </c>
      <c r="J75" s="23" t="str">
        <f>vlookup(B75,Sheet2!B:D,3,0)</f>
        <v>TUNJUNGAN PLAZA</v>
      </c>
      <c r="K75" s="23" t="str">
        <f>vlookup(A75,Sheet2!A:E,5,0)</f>
        <v>SURABAYA</v>
      </c>
      <c r="L75" s="25">
        <f>VLOOKUP(B75,Sheet3!B:L,11,0)</f>
        <v>6170469508</v>
      </c>
      <c r="M75" s="32">
        <v>45152.0</v>
      </c>
      <c r="N75" s="26">
        <v>46266.0</v>
      </c>
      <c r="O75" s="32">
        <v>46265.0</v>
      </c>
      <c r="P75" s="23" t="str">
        <f>VLOOKUP(A75,Sheet2!A:F,6,0)</f>
        <v>SURABAYA</v>
      </c>
      <c r="Q75" s="24" t="s">
        <v>501</v>
      </c>
      <c r="R75" s="27" t="s">
        <v>632</v>
      </c>
      <c r="S75" s="28">
        <v>5289000.0</v>
      </c>
      <c r="T75" s="29">
        <v>5289000.0</v>
      </c>
      <c r="U75" s="33"/>
      <c r="V75" s="23"/>
      <c r="W75" s="31">
        <v>5288796.0</v>
      </c>
      <c r="X75" s="31">
        <v>600000.0</v>
      </c>
      <c r="Y75" s="31">
        <f t="shared" si="7"/>
        <v>5888796</v>
      </c>
    </row>
    <row r="76" ht="22.5" customHeight="1">
      <c r="A76" s="19" t="s">
        <v>1017</v>
      </c>
      <c r="B76" s="20" t="s">
        <v>215</v>
      </c>
      <c r="C76" s="21" t="str">
        <f>vlookup(B76,Sheet3!B:C,2,0)</f>
        <v>Kp. Cikandang Rt 003 Rw 008 desa. Cimareme Kec. Ngamprah</v>
      </c>
      <c r="D76" s="22">
        <f>vlookup(B76,Sheet3!B:D,3,0)</f>
        <v>34155</v>
      </c>
      <c r="E76" s="20" t="str">
        <f>vlookup(B76,Sheet3!B:F,5,0)</f>
        <v>Bandung</v>
      </c>
      <c r="F76" s="20" t="str">
        <f>vlookup(B76,Sheet3!B:H,7,0)</f>
        <v>SLTA</v>
      </c>
      <c r="G76" s="23" t="str">
        <f>vlookup(B76,Sheet3!B:I,8,0)</f>
        <v>08886200919</v>
      </c>
      <c r="H76" s="23" t="str">
        <f>vlookup(B76,Sheet3!B:J,9,0)</f>
        <v>muhtar.banez88@gmail.com</v>
      </c>
      <c r="I76" s="24" t="s">
        <v>455</v>
      </c>
      <c r="J76" s="23" t="str">
        <f>vlookup(B76,Sheet2!B:D,3,0)</f>
        <v>BLIBLI ELEKTRONIK MOCH TOHA</v>
      </c>
      <c r="K76" s="23" t="str">
        <f>vlookup(A76,Sheet2!A:E,5,0)</f>
        <v>BANDUNG</v>
      </c>
      <c r="L76" s="25">
        <f>VLOOKUP(B76,Sheet3!B:L,11,0)</f>
        <v>7940301020</v>
      </c>
      <c r="M76" s="32">
        <v>46055.0</v>
      </c>
      <c r="N76" s="26">
        <v>46266.0</v>
      </c>
      <c r="O76" s="32">
        <v>46265.0</v>
      </c>
      <c r="P76" s="23" t="str">
        <f>VLOOKUP(A76,Sheet2!A:F,6,0)</f>
        <v>BANDUNG</v>
      </c>
      <c r="Q76" s="24" t="s">
        <v>501</v>
      </c>
      <c r="R76" s="27" t="s">
        <v>505</v>
      </c>
      <c r="S76" s="28">
        <v>4738000.0</v>
      </c>
      <c r="T76" s="29">
        <v>3316600.0</v>
      </c>
      <c r="U76" s="30">
        <v>1421400.0</v>
      </c>
      <c r="V76" s="23"/>
      <c r="W76" s="31">
        <v>4737678.0</v>
      </c>
      <c r="X76" s="31">
        <v>0.0</v>
      </c>
      <c r="Y76" s="31">
        <f t="shared" si="7"/>
        <v>4737678</v>
      </c>
    </row>
    <row r="77" ht="22.5" customHeight="1">
      <c r="A77" s="19" t="s">
        <v>1019</v>
      </c>
      <c r="B77" s="20" t="s">
        <v>472</v>
      </c>
      <c r="C77" s="21" t="str">
        <f>vlookup(B77,Sheet3!B:C,2,0)</f>
        <v>JL WALTER CONDRAD GG LOMBOK</v>
      </c>
      <c r="D77" s="22">
        <f>vlookup(B77,Sheet3!B:D,3,0)</f>
        <v>38092</v>
      </c>
      <c r="E77" s="20" t="str">
        <f>vlookup(B77,Sheet3!B:F,5,0)</f>
        <v>SAMPIT</v>
      </c>
      <c r="F77" s="20" t="str">
        <f>vlookup(B77,Sheet3!B:H,7,0)</f>
        <v>SLTA</v>
      </c>
      <c r="G77" s="23" t="str">
        <f>vlookup(B77,Sheet3!B:I,8,0)</f>
        <v>082255195399</v>
      </c>
      <c r="H77" s="23" t="str">
        <f>vlookup(B77,Sheet3!B:J,9,0)</f>
        <v>cancetta4@gmail.com</v>
      </c>
      <c r="I77" s="24" t="s">
        <v>455</v>
      </c>
      <c r="J77" s="23" t="str">
        <f>vlookup(B77,Sheet2!B:D,3,0)</f>
        <v>HOKKY OMEGA SAMPIT</v>
      </c>
      <c r="K77" s="23" t="str">
        <f>vlookup(A77,Sheet2!A:E,5,0)</f>
        <v>SAMPIT</v>
      </c>
      <c r="L77" s="25">
        <f>VLOOKUP(B77,Sheet3!B:L,11,0)</f>
        <v>6695618313</v>
      </c>
      <c r="M77" s="32">
        <v>45817.0</v>
      </c>
      <c r="N77" s="26">
        <v>46266.0</v>
      </c>
      <c r="O77" s="32">
        <v>46265.0</v>
      </c>
      <c r="P77" s="23" t="str">
        <f>VLOOKUP(A77,Sheet2!A:F,6,0)</f>
        <v>BANJARMASIN</v>
      </c>
      <c r="Q77" s="24" t="s">
        <v>501</v>
      </c>
      <c r="R77" s="27" t="s">
        <v>505</v>
      </c>
      <c r="S77" s="28">
        <v>3757000.0</v>
      </c>
      <c r="T77" s="29">
        <v>2629900.0</v>
      </c>
      <c r="U77" s="30">
        <v>1127100.0</v>
      </c>
      <c r="V77" s="23"/>
      <c r="W77" s="31">
        <v>3756643.0</v>
      </c>
      <c r="X77" s="31">
        <v>0.0</v>
      </c>
      <c r="Y77" s="31">
        <f t="shared" si="7"/>
        <v>3756643</v>
      </c>
    </row>
    <row r="78" ht="22.5" customHeight="1">
      <c r="A78" s="85" t="s">
        <v>1024</v>
      </c>
      <c r="B78" s="86" t="s">
        <v>225</v>
      </c>
      <c r="C78" s="87" t="str">
        <f>vlookup(B78,Sheet3!B:C,2,0)</f>
        <v>#N/A</v>
      </c>
      <c r="D78" s="20" t="str">
        <f>vlookup(B78,Sheet3!B:D,3,0)</f>
        <v>#N/A</v>
      </c>
      <c r="E78" s="20" t="str">
        <f>vlookup(B78,Sheet3!B:F,5,0)</f>
        <v>#N/A</v>
      </c>
      <c r="F78" s="86" t="str">
        <f>vlookup(B78,Sheet3!B:H,7,0)</f>
        <v>#N/A</v>
      </c>
      <c r="G78" s="88" t="str">
        <f>vlookup(B78,Sheet3!B:I,8,0)</f>
        <v>#N/A</v>
      </c>
      <c r="H78" s="88" t="str">
        <f>vlookup(B78,Sheet3!B:J,9,0)</f>
        <v>#N/A</v>
      </c>
      <c r="I78" s="89" t="str">
        <f>vlookup(A78,Sheet2!A:E,3,0)</f>
        <v>GTM</v>
      </c>
      <c r="J78" s="23" t="str">
        <f>vlookup(B78,Sheet2!B:D,3,0)</f>
        <v>STEIN - SPG/SPB MT</v>
      </c>
      <c r="K78" s="23" t="str">
        <f>vlookup(A78,Sheet2!A:E,5,0)</f>
        <v>JAKARTA</v>
      </c>
      <c r="L78" s="25" t="str">
        <f>VLOOKUP(B78,Sheet3!B:L,11,0)</f>
        <v>#N/A</v>
      </c>
      <c r="M78" s="32"/>
      <c r="N78" s="32"/>
      <c r="O78" s="32"/>
      <c r="P78" s="23" t="str">
        <f>VLOOKUP(A78,Sheet2!A:F,6,0)</f>
        <v>JAKARTA</v>
      </c>
      <c r="Q78" s="90" t="s">
        <v>1428</v>
      </c>
      <c r="R78" s="27" t="s">
        <v>632</v>
      </c>
      <c r="S78" s="84"/>
      <c r="T78" s="29">
        <v>6140000.0</v>
      </c>
      <c r="U78" s="33"/>
      <c r="V78" s="88"/>
      <c r="W78" s="91">
        <v>5729876.0</v>
      </c>
      <c r="X78" s="91">
        <v>410000.0</v>
      </c>
      <c r="Y78" s="31">
        <f t="shared" si="7"/>
        <v>6139876</v>
      </c>
    </row>
    <row r="79" ht="22.5" customHeight="1">
      <c r="A79" s="19" t="s">
        <v>1026</v>
      </c>
      <c r="B79" s="20" t="s">
        <v>1027</v>
      </c>
      <c r="C79" s="21" t="str">
        <f>vlookup(B79,Sheet3!B:C,2,0)</f>
        <v>Jln. Ancol Selatan rt05 rw03 no28 Kel.Sunter Agung Kec.Tanjung Priok Jakarta Utara 14350</v>
      </c>
      <c r="D79" s="22">
        <f>vlookup(B79,Sheet3!B:D,3,0)</f>
        <v>35378</v>
      </c>
      <c r="E79" s="20" t="str">
        <f>vlookup(B79,Sheet3!B:F,5,0)</f>
        <v>Jakarta</v>
      </c>
      <c r="F79" s="20" t="str">
        <f>vlookup(B79,Sheet3!B:H,7,0)</f>
        <v>SLTA</v>
      </c>
      <c r="G79" s="23" t="str">
        <f>vlookup(B79,Sheet3!B:I,8,0)</f>
        <v>0882006362336</v>
      </c>
      <c r="H79" s="23" t="str">
        <f>vlookup(B79,Sheet3!B:J,9,0)</f>
        <v>Mutiahnurf09@gmail.com</v>
      </c>
      <c r="I79" s="77" t="str">
        <f>vlookup(A79,Sheet2!A:E,3,0)</f>
        <v>Host Live</v>
      </c>
      <c r="J79" s="23" t="str">
        <f>vlookup(B79,Sheet2!B:D,3,0)</f>
        <v>MANGGA DUA SQUARE</v>
      </c>
      <c r="K79" s="23" t="str">
        <f>vlookup(A79,Sheet2!A:E,5,0)</f>
        <v>JAKARTA</v>
      </c>
      <c r="L79" s="25">
        <f>VLOOKUP(B79,Sheet3!B:L,11,0)</f>
        <v>5235189965</v>
      </c>
      <c r="M79" s="32"/>
      <c r="N79" s="32"/>
      <c r="O79" s="32"/>
      <c r="P79" s="23" t="str">
        <f>VLOOKUP(A79,Sheet2!A:F,6,0)</f>
        <v>JAKARTA</v>
      </c>
      <c r="Q79" s="24" t="s">
        <v>501</v>
      </c>
      <c r="R79" s="27" t="s">
        <v>632</v>
      </c>
      <c r="S79" s="28">
        <v>5730000.0</v>
      </c>
      <c r="T79" s="29">
        <v>5730000.0</v>
      </c>
      <c r="U79" s="33"/>
      <c r="V79" s="23"/>
      <c r="W79" s="31"/>
      <c r="X79" s="31"/>
      <c r="Y79" s="65"/>
    </row>
    <row r="80" ht="22.5" customHeight="1">
      <c r="A80" s="19" t="s">
        <v>1031</v>
      </c>
      <c r="B80" s="20" t="s">
        <v>236</v>
      </c>
      <c r="C80" s="21" t="str">
        <f>vlookup(B80,Sheet3!B:C,2,0)</f>
        <v>Jl. Srikandi Gg. Swadaya IV No. 4</v>
      </c>
      <c r="D80" s="22">
        <f>vlookup(B80,Sheet3!B:D,3,0)</f>
        <v>37039</v>
      </c>
      <c r="E80" s="20" t="str">
        <f>vlookup(B80,Sheet3!B:F,5,0)</f>
        <v>Medan</v>
      </c>
      <c r="F80" s="20" t="str">
        <f>vlookup(B80,Sheet3!B:H,7,0)</f>
        <v>SLTA</v>
      </c>
      <c r="G80" s="23" t="str">
        <f>vlookup(B80,Sheet3!B:I,8,0)</f>
        <v>081264583373</v>
      </c>
      <c r="H80" s="23" t="str">
        <f>vlookup(B80,Sheet3!B:J,9,0)</f>
        <v>nadafadhillah28052001@gmail.com</v>
      </c>
      <c r="I80" s="24" t="s">
        <v>455</v>
      </c>
      <c r="J80" s="23" t="str">
        <f>vlookup(B80,Sheet2!B:D,3,0)</f>
        <v>SH MART ELEKTRONIK</v>
      </c>
      <c r="K80" s="23" t="str">
        <f>vlookup(A80,Sheet2!A:E,5,0)</f>
        <v>MEDAN</v>
      </c>
      <c r="L80" s="25">
        <f>VLOOKUP(B80,Sheet3!B:L,11,0)</f>
        <v>1951673540</v>
      </c>
      <c r="M80" s="32">
        <v>45054.0</v>
      </c>
      <c r="N80" s="26">
        <v>46266.0</v>
      </c>
      <c r="O80" s="32">
        <v>46265.0</v>
      </c>
      <c r="P80" s="23" t="str">
        <f>VLOOKUP(A80,Sheet2!A:F,6,0)</f>
        <v>MEDAN</v>
      </c>
      <c r="Q80" s="24" t="s">
        <v>501</v>
      </c>
      <c r="R80" s="27" t="s">
        <v>505</v>
      </c>
      <c r="S80" s="28">
        <v>4336000.0</v>
      </c>
      <c r="T80" s="29">
        <v>3035200.0</v>
      </c>
      <c r="U80" s="30">
        <v>1300800.0</v>
      </c>
      <c r="V80" s="23"/>
      <c r="W80" s="31">
        <v>4335198.0</v>
      </c>
      <c r="X80" s="31">
        <v>0.0</v>
      </c>
      <c r="Y80" s="31">
        <f t="shared" ref="Y80:Y98" si="8">W80+X80</f>
        <v>4335198</v>
      </c>
    </row>
    <row r="81" ht="22.5" customHeight="1">
      <c r="A81" s="19" t="s">
        <v>1033</v>
      </c>
      <c r="B81" s="20" t="s">
        <v>324</v>
      </c>
      <c r="C81" s="21" t="str">
        <f>vlookup(B81,Sheet3!B:C,2,0)</f>
        <v>Mrutukalianyar 165</v>
      </c>
      <c r="D81" s="22">
        <f>vlookup(B81,Sheet3!B:D,3,0)</f>
        <v>32016</v>
      </c>
      <c r="E81" s="20" t="str">
        <f>vlookup(B81,Sheet3!B:F,5,0)</f>
        <v>SURABAYA</v>
      </c>
      <c r="F81" s="20" t="str">
        <f>vlookup(B81,Sheet3!B:H,7,0)</f>
        <v>SLTA</v>
      </c>
      <c r="G81" s="23" t="str">
        <f>vlookup(B81,Sheet3!B:I,8,0)</f>
        <v>08132230318</v>
      </c>
      <c r="H81" s="23" t="str">
        <f>vlookup(B81,Sheet3!B:J,9,0)</f>
        <v>nanymariap@gmail.com</v>
      </c>
      <c r="I81" s="24" t="s">
        <v>455</v>
      </c>
      <c r="J81" s="23" t="str">
        <f>vlookup(B81,Sheet2!B:D,3,0)</f>
        <v>PERDANA MANYAR</v>
      </c>
      <c r="K81" s="23" t="str">
        <f>vlookup(A81,Sheet2!A:E,5,0)</f>
        <v>SURABAYA</v>
      </c>
      <c r="L81" s="25">
        <f>VLOOKUP(B81,Sheet3!B:L,11,0)</f>
        <v>1020482849</v>
      </c>
      <c r="M81" s="32">
        <v>45505.0</v>
      </c>
      <c r="N81" s="26">
        <v>46266.0</v>
      </c>
      <c r="O81" s="32">
        <v>46265.0</v>
      </c>
      <c r="P81" s="23" t="str">
        <f>VLOOKUP(A81,Sheet2!A:F,6,0)</f>
        <v>SURABAYA</v>
      </c>
      <c r="Q81" s="24" t="s">
        <v>501</v>
      </c>
      <c r="R81" s="27" t="s">
        <v>505</v>
      </c>
      <c r="S81" s="28">
        <v>5289000.0</v>
      </c>
      <c r="T81" s="29">
        <v>3702300.0</v>
      </c>
      <c r="U81" s="30">
        <v>1586700.0</v>
      </c>
      <c r="V81" s="23"/>
      <c r="W81" s="31">
        <v>5288796.0</v>
      </c>
      <c r="X81" s="31">
        <v>0.0</v>
      </c>
      <c r="Y81" s="31">
        <f t="shared" si="8"/>
        <v>5288796</v>
      </c>
    </row>
    <row r="82" ht="22.5" customHeight="1">
      <c r="A82" s="19" t="s">
        <v>1035</v>
      </c>
      <c r="B82" s="20" t="s">
        <v>208</v>
      </c>
      <c r="C82" s="21" t="str">
        <f>vlookup(B82,Sheet3!B:C,2,0)</f>
        <v>Jl. Beo GG. Anggrek Kr. Kemong, cakranegara Barat</v>
      </c>
      <c r="D82" s="22">
        <f>vlookup(B82,Sheet3!B:D,3,0)</f>
        <v>34644</v>
      </c>
      <c r="E82" s="20" t="str">
        <f>vlookup(B82,Sheet3!B:F,5,0)</f>
        <v>Mataram</v>
      </c>
      <c r="F82" s="20" t="str">
        <f>vlookup(B82,Sheet3!B:H,7,0)</f>
        <v>SLTA</v>
      </c>
      <c r="G82" s="23" t="str">
        <f>vlookup(B82,Sheet3!B:I,8,0)</f>
        <v>087899215955</v>
      </c>
      <c r="H82" s="23" t="str">
        <f>vlookup(B82,Sheet3!B:J,9,0)</f>
        <v>rahayuneni0611@gmail.com</v>
      </c>
      <c r="I82" s="24" t="s">
        <v>455</v>
      </c>
      <c r="J82" s="23" t="str">
        <f>vlookup(B82,Sheet2!B:D,3,0)</f>
        <v>DAPUR KITA MATARAM</v>
      </c>
      <c r="K82" s="23" t="str">
        <f>vlookup(A82,Sheet2!A:E,5,0)</f>
        <v>MATARAM</v>
      </c>
      <c r="L82" s="25" t="str">
        <f>VLOOKUP(B82,Sheet3!B:L,11,0)</f>
        <v>0562729397</v>
      </c>
      <c r="M82" s="32">
        <v>46034.0</v>
      </c>
      <c r="N82" s="26">
        <v>46266.0</v>
      </c>
      <c r="O82" s="32">
        <v>46265.0</v>
      </c>
      <c r="P82" s="23" t="str">
        <f>VLOOKUP(A82,Sheet2!A:F,6,0)</f>
        <v>SURABAYA</v>
      </c>
      <c r="Q82" s="24" t="s">
        <v>501</v>
      </c>
      <c r="R82" s="27" t="s">
        <v>632</v>
      </c>
      <c r="S82" s="28">
        <v>5730000.0</v>
      </c>
      <c r="T82" s="29">
        <v>5730000.0</v>
      </c>
      <c r="U82" s="33"/>
      <c r="V82" s="23"/>
      <c r="W82" s="31">
        <v>3019015.0</v>
      </c>
      <c r="X82" s="31">
        <v>0.0</v>
      </c>
      <c r="Y82" s="31">
        <f t="shared" si="8"/>
        <v>3019015</v>
      </c>
    </row>
    <row r="83" ht="22.5" customHeight="1">
      <c r="A83" s="19" t="s">
        <v>1037</v>
      </c>
      <c r="B83" s="20" t="s">
        <v>398</v>
      </c>
      <c r="C83" s="21" t="str">
        <f>vlookup(B83,Sheet3!B:C,2,0)</f>
        <v>km.14 gg mutiara.gambut</v>
      </c>
      <c r="D83" s="22">
        <f>vlookup(B83,Sheet3!B:D,3,0)</f>
        <v>32431</v>
      </c>
      <c r="E83" s="20" t="str">
        <f>vlookup(B83,Sheet3!B:F,5,0)</f>
        <v>banjarmasin</v>
      </c>
      <c r="F83" s="20" t="str">
        <f>vlookup(B83,Sheet3!B:H,7,0)</f>
        <v>SLTA</v>
      </c>
      <c r="G83" s="23" t="str">
        <f>vlookup(B83,Sheet3!B:I,8,0)</f>
        <v>082154107338</v>
      </c>
      <c r="H83" s="23" t="str">
        <f>vlookup(B83,Sheet3!B:J,9,0)</f>
        <v>udayshar88@gmail.com</v>
      </c>
      <c r="I83" s="24" t="s">
        <v>455</v>
      </c>
      <c r="J83" s="23" t="str">
        <f>vlookup(B83,Sheet2!B:D,3,0)</f>
        <v>PONDOK ELEKTRONIK</v>
      </c>
      <c r="K83" s="23" t="str">
        <f>vlookup(A83,Sheet2!A:E,5,0)</f>
        <v>BANJARMASIN</v>
      </c>
      <c r="L83" s="25">
        <f>VLOOKUP(B83,Sheet3!B:L,11,0)</f>
        <v>8275634804</v>
      </c>
      <c r="M83" s="32">
        <f>vlookup(B83,'data staffinc_3'!B:I,7,0)</f>
        <v>45673</v>
      </c>
      <c r="N83" s="26">
        <v>46266.0</v>
      </c>
      <c r="O83" s="32">
        <f>vlookup(B83,'data staffinc_3'!B:I,8,0)</f>
        <v>46265</v>
      </c>
      <c r="P83" s="23" t="str">
        <f>VLOOKUP(A83,Sheet2!A:F,6,0)</f>
        <v>BANJARMASIN</v>
      </c>
      <c r="Q83" s="24" t="s">
        <v>501</v>
      </c>
      <c r="R83" s="27" t="s">
        <v>505</v>
      </c>
      <c r="S83" s="28">
        <v>3856000.0</v>
      </c>
      <c r="T83" s="29">
        <v>2699200.0</v>
      </c>
      <c r="U83" s="30">
        <v>1156800.0</v>
      </c>
      <c r="V83" s="23"/>
      <c r="W83" s="31">
        <v>3855894.0</v>
      </c>
      <c r="X83" s="31">
        <v>0.0</v>
      </c>
      <c r="Y83" s="31">
        <f t="shared" si="8"/>
        <v>3855894</v>
      </c>
    </row>
    <row r="84" ht="22.5" customHeight="1">
      <c r="A84" s="19" t="s">
        <v>1040</v>
      </c>
      <c r="B84" s="20" t="s">
        <v>255</v>
      </c>
      <c r="C84" s="21" t="str">
        <f>vlookup(B84,Sheet3!B:C,2,0)</f>
        <v>kebon besar rt02 rw 03 kecamatan batu ceper tangerang</v>
      </c>
      <c r="D84" s="22">
        <f>vlookup(B84,Sheet3!B:D,3,0)</f>
        <v>38171</v>
      </c>
      <c r="E84" s="20" t="str">
        <f>vlookup(B84,Sheet3!B:F,5,0)</f>
        <v>Tangerang </v>
      </c>
      <c r="F84" s="20" t="str">
        <f>vlookup(B84,Sheet3!B:H,7,0)</f>
        <v>SLTA</v>
      </c>
      <c r="G84" s="23" t="str">
        <f>vlookup(B84,Sheet3!B:I,8,0)</f>
        <v>087760225284</v>
      </c>
      <c r="H84" s="23" t="str">
        <f>vlookup(B84,Sheet3!B:J,9,0)</f>
        <v>nurrahmahhh11@gmail.com</v>
      </c>
      <c r="I84" s="24" t="s">
        <v>455</v>
      </c>
      <c r="J84" s="23" t="str">
        <f>vlookup(B84,Sheet2!B:D,3,0)</f>
        <v>TOKO EMETAL ASIA JAYA (ONLINE)</v>
      </c>
      <c r="K84" s="23" t="str">
        <f>vlookup(A84,Sheet2!A:E,5,0)</f>
        <v>JAKARTA</v>
      </c>
      <c r="L84" s="25">
        <f>VLOOKUP(B84,Sheet3!B:L,11,0)</f>
        <v>5940898368</v>
      </c>
      <c r="M84" s="32">
        <v>46164.0</v>
      </c>
      <c r="N84" s="26">
        <v>46266.0</v>
      </c>
      <c r="O84" s="32">
        <v>46265.0</v>
      </c>
      <c r="P84" s="23" t="str">
        <f>VLOOKUP(A84,Sheet2!A:F,6,0)</f>
        <v>JAKARTA</v>
      </c>
      <c r="Q84" s="24" t="s">
        <v>501</v>
      </c>
      <c r="R84" s="27" t="s">
        <v>632</v>
      </c>
      <c r="S84" s="28">
        <v>5730000.0</v>
      </c>
      <c r="T84" s="29">
        <v>5730000.0</v>
      </c>
      <c r="U84" s="33"/>
      <c r="V84" s="19" t="s">
        <v>1028</v>
      </c>
      <c r="W84" s="31">
        <v>5729876.0</v>
      </c>
      <c r="X84" s="31">
        <v>0.0</v>
      </c>
      <c r="Y84" s="31">
        <f t="shared" si="8"/>
        <v>5729876</v>
      </c>
    </row>
    <row r="85" ht="22.5" customHeight="1">
      <c r="A85" s="19" t="s">
        <v>1042</v>
      </c>
      <c r="B85" s="20" t="s">
        <v>171</v>
      </c>
      <c r="C85" s="21" t="str">
        <f>vlookup(B85,Sheet3!B:C,2,0)</f>
        <v>Jl  Ahmad Yani IV/109 Lingk. Tembaan</v>
      </c>
      <c r="D85" s="22">
        <f>vlookup(B85,Sheet3!B:D,3,0)</f>
        <v>37671</v>
      </c>
      <c r="E85" s="20" t="str">
        <f>vlookup(B85,Sheet3!B:F,5,0)</f>
        <v>Jember</v>
      </c>
      <c r="F85" s="20" t="str">
        <f>vlookup(B85,Sheet3!B:H,7,0)</f>
        <v>SLTA</v>
      </c>
      <c r="G85" s="23" t="str">
        <f>vlookup(B85,Sheet3!B:I,8,0)</f>
        <v>089628450401</v>
      </c>
      <c r="H85" s="23" t="str">
        <f>vlookup(B85,Sheet3!B:J,9,0)</f>
        <v>afnindanurista@gmail.com</v>
      </c>
      <c r="I85" s="24" t="s">
        <v>455</v>
      </c>
      <c r="J85" s="23" t="str">
        <f>vlookup(B85,Sheet2!B:D,3,0)</f>
        <v>TOP 100 SWALAYAN</v>
      </c>
      <c r="K85" s="19" t="s">
        <v>458</v>
      </c>
      <c r="L85" s="25" t="str">
        <f>VLOOKUP(B85,Sheet3!B:L,11,0)</f>
        <v>0123456789</v>
      </c>
      <c r="M85" s="32">
        <v>45934.0</v>
      </c>
      <c r="N85" s="26">
        <v>46266.0</v>
      </c>
      <c r="O85" s="32">
        <v>46265.0</v>
      </c>
      <c r="P85" s="23" t="str">
        <f>VLOOKUP(A85,Sheet2!A:F,6,0)</f>
        <v>SURABAYA</v>
      </c>
      <c r="Q85" s="24" t="s">
        <v>501</v>
      </c>
      <c r="R85" s="27" t="s">
        <v>505</v>
      </c>
      <c r="S85" s="28">
        <v>5358000.0</v>
      </c>
      <c r="T85" s="29">
        <v>3750600.0</v>
      </c>
      <c r="U85" s="30">
        <v>1607400.0</v>
      </c>
      <c r="V85" s="23"/>
      <c r="W85" s="31">
        <v>5357982.0</v>
      </c>
      <c r="X85" s="31">
        <v>0.0</v>
      </c>
      <c r="Y85" s="31">
        <f t="shared" si="8"/>
        <v>5357982</v>
      </c>
    </row>
    <row r="86" ht="22.5" customHeight="1">
      <c r="A86" s="19" t="s">
        <v>1047</v>
      </c>
      <c r="B86" s="20" t="s">
        <v>311</v>
      </c>
      <c r="C86" s="21" t="str">
        <f>vlookup(B86,Sheet3!B:C,2,0)</f>
        <v>JL. Panglima Sudirman Gang VII No 71B Kepatihan Tulungagung</v>
      </c>
      <c r="D86" s="22">
        <f>vlookup(B86,Sheet3!B:D,3,0)</f>
        <v>34671</v>
      </c>
      <c r="E86" s="20" t="str">
        <f>vlookup(B86,Sheet3!B:F,5,0)</f>
        <v>Tulungagung</v>
      </c>
      <c r="F86" s="20" t="str">
        <f>vlookup(B86,Sheet3!B:H,7,0)</f>
        <v>SLTA</v>
      </c>
      <c r="G86" s="23" t="str">
        <f>vlookup(B86,Sheet3!B:I,8,0)</f>
        <v>081334979494</v>
      </c>
      <c r="H86" s="23" t="str">
        <f>vlookup(B86,Sheet3!B:J,9,0)</f>
        <v>nwidiyanti70@gmail.com</v>
      </c>
      <c r="I86" s="24" t="s">
        <v>455</v>
      </c>
      <c r="J86" s="23" t="str">
        <f>vlookup(B86,Sheet2!B:D,3,0)</f>
        <v>CV OMEGA SEJAHTERA</v>
      </c>
      <c r="K86" s="23" t="str">
        <f>vlookup(A86,Sheet2!A:E,5,0)</f>
        <v>TULUNGAGUNG</v>
      </c>
      <c r="L86" s="25" t="str">
        <f>VLOOKUP(B86,Sheet3!B:L,11,0)</f>
        <v>0481650436</v>
      </c>
      <c r="M86" s="32">
        <v>45446.0</v>
      </c>
      <c r="N86" s="26">
        <v>46266.0</v>
      </c>
      <c r="O86" s="32">
        <v>46265.0</v>
      </c>
      <c r="P86" s="23" t="str">
        <f>VLOOKUP(A86,Sheet2!A:F,6,0)</f>
        <v>SURABAYA</v>
      </c>
      <c r="Q86" s="24" t="s">
        <v>501</v>
      </c>
      <c r="R86" s="27" t="s">
        <v>505</v>
      </c>
      <c r="S86" s="28">
        <v>2629000.0</v>
      </c>
      <c r="T86" s="29">
        <v>1840300.0</v>
      </c>
      <c r="U86" s="30">
        <v>788700.0</v>
      </c>
      <c r="V86" s="23"/>
      <c r="W86" s="31">
        <v>2628190.0</v>
      </c>
      <c r="X86" s="31">
        <v>0.0</v>
      </c>
      <c r="Y86" s="31">
        <f t="shared" si="8"/>
        <v>2628190</v>
      </c>
    </row>
    <row r="87" ht="22.5" customHeight="1">
      <c r="A87" s="19" t="s">
        <v>1051</v>
      </c>
      <c r="B87" s="20" t="s">
        <v>369</v>
      </c>
      <c r="C87" s="21" t="str">
        <f>vlookup(B87,Sheet3!B:C,2,0)</f>
        <v>Kedung Anyar 5/42</v>
      </c>
      <c r="D87" s="22">
        <f>vlookup(B87,Sheet3!B:D,3,0)</f>
        <v>39026</v>
      </c>
      <c r="E87" s="20" t="str">
        <f>vlookup(B87,Sheet3!B:F,5,0)</f>
        <v>Surabaya</v>
      </c>
      <c r="F87" s="20" t="str">
        <f>vlookup(B87,Sheet3!B:H,7,0)</f>
        <v>SLTA</v>
      </c>
      <c r="G87" s="23" t="str">
        <f>vlookup(B87,Sheet3!B:I,8,0)</f>
        <v>0882009923236</v>
      </c>
      <c r="H87" s="23" t="str">
        <f>vlookup(B87,Sheet3!B:J,9,0)</f>
        <v>Goowen36@gmail.com</v>
      </c>
      <c r="I87" s="24" t="s">
        <v>455</v>
      </c>
      <c r="J87" s="23" t="str">
        <f>vlookup(B87,Sheet2!B:D,3,0)</f>
        <v>SUPER MURAH SURABAYA 2</v>
      </c>
      <c r="K87" s="23" t="str">
        <f>vlookup(A87,Sheet2!A:E,5,0)</f>
        <v>SURABAYA</v>
      </c>
      <c r="L87" s="25">
        <f>VLOOKUP(B87,Sheet3!B:L,11,0)</f>
        <v>1030769631</v>
      </c>
      <c r="M87" s="32">
        <v>45579.0</v>
      </c>
      <c r="N87" s="26">
        <v>46266.0</v>
      </c>
      <c r="O87" s="32">
        <v>46265.0</v>
      </c>
      <c r="P87" s="23" t="str">
        <f>VLOOKUP(A87,Sheet2!A:F,6,0)</f>
        <v>SURABAYA</v>
      </c>
      <c r="Q87" s="24" t="s">
        <v>501</v>
      </c>
      <c r="R87" s="27" t="s">
        <v>505</v>
      </c>
      <c r="S87" s="28">
        <v>5289000.0</v>
      </c>
      <c r="T87" s="29">
        <v>3702300.0</v>
      </c>
      <c r="U87" s="30">
        <v>1586700.0</v>
      </c>
      <c r="V87" s="23"/>
      <c r="W87" s="31">
        <v>5288796.0</v>
      </c>
      <c r="X87" s="31">
        <v>0.0</v>
      </c>
      <c r="Y87" s="31">
        <f t="shared" si="8"/>
        <v>5288796</v>
      </c>
    </row>
    <row r="88" ht="22.5" customHeight="1">
      <c r="A88" s="19" t="s">
        <v>1053</v>
      </c>
      <c r="B88" s="20" t="s">
        <v>246</v>
      </c>
      <c r="C88" s="21" t="str">
        <f>vlookup(B88,Sheet3!B:C,2,0)</f>
        <v>JL. Watulawang V / 29</v>
      </c>
      <c r="D88" s="22">
        <f>vlookup(B88,Sheet3!B:D,3,0)</f>
        <v>33239</v>
      </c>
      <c r="E88" s="20" t="str">
        <f>vlookup(B88,Sheet3!B:F,5,0)</f>
        <v>Semarang</v>
      </c>
      <c r="F88" s="20" t="str">
        <f>vlookup(B88,Sheet3!B:H,7,0)</f>
        <v>SLTA</v>
      </c>
      <c r="G88" s="23" t="str">
        <f>vlookup(B88,Sheet3!B:I,8,0)</f>
        <v>085712040947</v>
      </c>
      <c r="H88" s="23" t="str">
        <f>vlookup(B88,Sheet3!B:J,9,0)</f>
        <v>paramitharestu65@gmail.com</v>
      </c>
      <c r="I88" s="24" t="s">
        <v>455</v>
      </c>
      <c r="J88" s="23" t="str">
        <f>vlookup(B88,Sheet2!B:D,3,0)</f>
        <v>PIRANTI HOUSEWARE</v>
      </c>
      <c r="K88" s="23" t="str">
        <f>vlookup(A88,Sheet2!A:E,5,0)</f>
        <v>SEMARANG</v>
      </c>
      <c r="L88" s="25">
        <f>VLOOKUP(B88,Sheet3!B:L,11,0)</f>
        <v>8165474933</v>
      </c>
      <c r="M88" s="32">
        <v>45061.0</v>
      </c>
      <c r="N88" s="26">
        <v>46266.0</v>
      </c>
      <c r="O88" s="32">
        <v>46265.0</v>
      </c>
      <c r="P88" s="23" t="str">
        <f>VLOOKUP(A88,Sheet2!A:F,6,0)</f>
        <v>SEMARANG</v>
      </c>
      <c r="Q88" s="24" t="s">
        <v>501</v>
      </c>
      <c r="R88" s="27" t="s">
        <v>505</v>
      </c>
      <c r="S88" s="28">
        <v>3702000.0</v>
      </c>
      <c r="T88" s="29">
        <v>2591400.0</v>
      </c>
      <c r="U88" s="30">
        <v>1110600.0</v>
      </c>
      <c r="V88" s="23"/>
      <c r="W88" s="31">
        <v>3701709.0</v>
      </c>
      <c r="X88" s="31">
        <v>0.0</v>
      </c>
      <c r="Y88" s="31">
        <f t="shared" si="8"/>
        <v>3701709</v>
      </c>
    </row>
    <row r="89" ht="22.5" customHeight="1">
      <c r="A89" s="19" t="s">
        <v>1055</v>
      </c>
      <c r="B89" s="20" t="s">
        <v>221</v>
      </c>
      <c r="C89" s="21" t="str">
        <f>vlookup(B89,Sheet3!B:C,2,0)</f>
        <v>JL. LA. Sucipto GG. Stasiun No.16 RT.06 RW.10 Purwodadi Malang</v>
      </c>
      <c r="D89" s="22">
        <f>vlookup(B89,Sheet3!B:D,3,0)</f>
        <v>36017</v>
      </c>
      <c r="E89" s="20" t="str">
        <f>vlookup(B89,Sheet3!B:F,5,0)</f>
        <v>Malamg</v>
      </c>
      <c r="F89" s="20" t="str">
        <f>vlookup(B89,Sheet3!B:H,7,0)</f>
        <v>SLTA</v>
      </c>
      <c r="G89" s="23" t="str">
        <f>vlookup(B89,Sheet3!B:I,8,0)</f>
        <v>089669375797</v>
      </c>
      <c r="H89" s="23" t="str">
        <f>vlookup(B89,Sheet3!B:J,9,0)</f>
        <v>prakasarmando51@gmail.com</v>
      </c>
      <c r="I89" s="24" t="s">
        <v>1414</v>
      </c>
      <c r="J89" s="23" t="str">
        <f>vlookup(B89,Sheet2!B:D,3,0)</f>
        <v>HARTONO MALANG</v>
      </c>
      <c r="K89" s="23" t="str">
        <f>vlookup(A89,Sheet2!A:E,5,0)</f>
        <v>MALANG</v>
      </c>
      <c r="L89" s="25">
        <f>VLOOKUP(B89,Sheet3!B:L,11,0)</f>
        <v>3310069298</v>
      </c>
      <c r="M89" s="32">
        <v>46074.0</v>
      </c>
      <c r="N89" s="26">
        <v>46266.0</v>
      </c>
      <c r="O89" s="32">
        <v>46265.0</v>
      </c>
      <c r="P89" s="23" t="str">
        <f>VLOOKUP(A89,Sheet2!A:F,6,0)</f>
        <v>SURABAYA</v>
      </c>
      <c r="Q89" s="24" t="s">
        <v>501</v>
      </c>
      <c r="R89" s="27" t="s">
        <v>632</v>
      </c>
      <c r="S89" s="28">
        <v>3803000.0</v>
      </c>
      <c r="T89" s="29">
        <v>3803000.0</v>
      </c>
      <c r="U89" s="30"/>
      <c r="V89" s="23"/>
      <c r="W89" s="31">
        <v>3736101.0</v>
      </c>
      <c r="X89" s="31">
        <v>0.0</v>
      </c>
      <c r="Y89" s="31">
        <f t="shared" si="8"/>
        <v>3736101</v>
      </c>
    </row>
    <row r="90" ht="22.5" customHeight="1">
      <c r="A90" s="19" t="s">
        <v>1057</v>
      </c>
      <c r="B90" s="19" t="s">
        <v>531</v>
      </c>
      <c r="C90" s="21" t="str">
        <f>vlookup(B90,Sheet3!B:C,2,0)</f>
        <v>Pedurungan lor</v>
      </c>
      <c r="D90" s="22">
        <f>vlookup(B90,Sheet3!B:D,3,0)</f>
        <v>36678</v>
      </c>
      <c r="E90" s="20" t="str">
        <f>vlookup(B90,Sheet3!B:F,5,0)</f>
        <v>Cilacap</v>
      </c>
      <c r="F90" s="20" t="str">
        <f>vlookup(B90,Sheet3!B:H,7,0)</f>
        <v>SLTA</v>
      </c>
      <c r="G90" s="23" t="str">
        <f>vlookup(B90,Sheet3!B:I,8,0)</f>
        <v>0895381170790</v>
      </c>
      <c r="H90" s="23" t="str">
        <f>vlookup(B90,Sheet3!B:J,9,0)</f>
        <v>Thadhea10@gmail.com</v>
      </c>
      <c r="I90" s="24" t="s">
        <v>455</v>
      </c>
      <c r="J90" s="23" t="str">
        <f>vlookup(B90,Sheet2!B:D,3,0)</f>
        <v>ADA SWALAYAN SETIABUDI</v>
      </c>
      <c r="K90" s="23" t="str">
        <f>vlookup(A90,Sheet2!A:E,5,0)</f>
        <v>SEMARANG</v>
      </c>
      <c r="L90" s="25">
        <f>VLOOKUP(B90,Sheet3!B:L,11,0)</f>
        <v>3440526046</v>
      </c>
      <c r="M90" s="32">
        <f>vlookup(B90,'data staffinc_3'!B:I,7,0)</f>
        <v>45938</v>
      </c>
      <c r="N90" s="26">
        <v>46266.0</v>
      </c>
      <c r="O90" s="32">
        <f>vlookup(B90,'data staffinc_3'!B:I,8,0)</f>
        <v>46265</v>
      </c>
      <c r="P90" s="23" t="str">
        <f>VLOOKUP(A90,Sheet2!A:F,6,0)</f>
        <v>SEMARANG</v>
      </c>
      <c r="Q90" s="24" t="s">
        <v>501</v>
      </c>
      <c r="R90" s="27" t="s">
        <v>505</v>
      </c>
      <c r="S90" s="28">
        <v>3702000.0</v>
      </c>
      <c r="T90" s="29">
        <v>2591400.0</v>
      </c>
      <c r="U90" s="30">
        <v>1110600.0</v>
      </c>
      <c r="V90" s="23"/>
      <c r="W90" s="31">
        <v>3701709.0</v>
      </c>
      <c r="X90" s="31">
        <v>0.0</v>
      </c>
      <c r="Y90" s="31">
        <f t="shared" si="8"/>
        <v>3701709</v>
      </c>
    </row>
    <row r="91" ht="22.5" customHeight="1">
      <c r="A91" s="19" t="s">
        <v>1060</v>
      </c>
      <c r="B91" s="20" t="s">
        <v>415</v>
      </c>
      <c r="C91" s="21" t="str">
        <f>vlookup(B91,Sheet3!B:C,2,0)</f>
        <v>Botokenceng Rt. 01, Wirokerten, Banguntapan, Bantul, Yogyakarta</v>
      </c>
      <c r="D91" s="22">
        <f>vlookup(B91,Sheet3!B:D,3,0)</f>
        <v>29457</v>
      </c>
      <c r="E91" s="20" t="str">
        <f>vlookup(B91,Sheet3!B:F,5,0)</f>
        <v>Klaten</v>
      </c>
      <c r="F91" s="20" t="str">
        <f>vlookup(B91,Sheet3!B:H,7,0)</f>
        <v>SLTA</v>
      </c>
      <c r="G91" s="23" t="str">
        <f>vlookup(B91,Sheet3!B:I,8,0)</f>
        <v>08985234603</v>
      </c>
      <c r="H91" s="23" t="str">
        <f>vlookup(B91,Sheet3!B:J,9,0)</f>
        <v>puji27631@gmail.com</v>
      </c>
      <c r="I91" s="24" t="s">
        <v>455</v>
      </c>
      <c r="J91" s="23" t="str">
        <f>vlookup(B91,Sheet2!B:D,3,0)</f>
        <v>FORTUNA</v>
      </c>
      <c r="K91" s="23" t="str">
        <f>vlookup(A91,Sheet2!A:E,5,0)</f>
        <v>YOGYAKARTA</v>
      </c>
      <c r="L91" s="25">
        <f>VLOOKUP(B91,Sheet3!B:L,11,0)</f>
        <v>4451275768</v>
      </c>
      <c r="M91" s="32">
        <v>45693.0</v>
      </c>
      <c r="N91" s="26">
        <v>46266.0</v>
      </c>
      <c r="O91" s="32">
        <v>46265.0</v>
      </c>
      <c r="P91" s="23" t="str">
        <f>VLOOKUP(A91,Sheet2!A:F,6,0)</f>
        <v>SEMARANG</v>
      </c>
      <c r="Q91" s="24" t="s">
        <v>501</v>
      </c>
      <c r="R91" s="27" t="s">
        <v>505</v>
      </c>
      <c r="S91" s="28">
        <v>2828000.0</v>
      </c>
      <c r="T91" s="29">
        <v>1979600.0</v>
      </c>
      <c r="U91" s="30">
        <v>848400.0</v>
      </c>
      <c r="V91" s="23"/>
      <c r="W91" s="31">
        <v>2827593.0</v>
      </c>
      <c r="X91" s="31">
        <v>0.0</v>
      </c>
      <c r="Y91" s="31">
        <f t="shared" si="8"/>
        <v>2827593</v>
      </c>
    </row>
    <row r="92" ht="22.5" customHeight="1">
      <c r="A92" s="19" t="s">
        <v>1065</v>
      </c>
      <c r="B92" s="20" t="s">
        <v>304</v>
      </c>
      <c r="C92" s="21" t="str">
        <f>vlookup(B92,Sheet3!B:C,2,0)</f>
        <v>Jl.Pematang pasir gg keluarga, kec tanjung mulia hilir</v>
      </c>
      <c r="D92" s="22">
        <f>vlookup(B92,Sheet3!B:D,3,0)</f>
        <v>36452</v>
      </c>
      <c r="E92" s="20" t="str">
        <f>vlookup(B92,Sheet3!B:F,5,0)</f>
        <v>Medan</v>
      </c>
      <c r="F92" s="20" t="str">
        <f>vlookup(B92,Sheet3!B:H,7,0)</f>
        <v>SLTA</v>
      </c>
      <c r="G92" s="23" t="str">
        <f>vlookup(B92,Sheet3!B:I,8,0)</f>
        <v>082161115775</v>
      </c>
      <c r="H92" s="23" t="str">
        <f>vlookup(B92,Sheet3!B:J,9,0)</f>
        <v>ayyaputri413@gmail.com</v>
      </c>
      <c r="I92" s="24" t="s">
        <v>455</v>
      </c>
      <c r="J92" s="23" t="str">
        <f>vlookup(B92,Sheet2!B:D,3,0)</f>
        <v>WIEGO HOUSEWARE TRITURA</v>
      </c>
      <c r="K92" s="23" t="str">
        <f>vlookup(A92,Sheet2!A:E,5,0)</f>
        <v>MEDAN</v>
      </c>
      <c r="L92" s="25">
        <f>VLOOKUP(B92,Sheet3!B:L,11,0)</f>
        <v>8195203390</v>
      </c>
      <c r="M92" s="32">
        <v>45352.0</v>
      </c>
      <c r="N92" s="26">
        <v>46266.0</v>
      </c>
      <c r="O92" s="32">
        <v>46265.0</v>
      </c>
      <c r="P92" s="23" t="str">
        <f>VLOOKUP(A92,Sheet2!A:F,6,0)</f>
        <v>MEDAN</v>
      </c>
      <c r="Q92" s="24" t="s">
        <v>501</v>
      </c>
      <c r="R92" s="27" t="s">
        <v>505</v>
      </c>
      <c r="S92" s="28">
        <v>4336000.0</v>
      </c>
      <c r="T92" s="29">
        <v>3035200.0</v>
      </c>
      <c r="U92" s="30">
        <v>1300800.0</v>
      </c>
      <c r="V92" s="23"/>
      <c r="W92" s="31">
        <v>4335198.0</v>
      </c>
      <c r="X92" s="31">
        <v>0.0</v>
      </c>
      <c r="Y92" s="31">
        <f t="shared" si="8"/>
        <v>4335198</v>
      </c>
    </row>
    <row r="93" ht="22.5" customHeight="1">
      <c r="A93" s="19" t="s">
        <v>1069</v>
      </c>
      <c r="B93" s="20" t="s">
        <v>229</v>
      </c>
      <c r="C93" s="21" t="str">
        <f>vlookup(B93,Sheet3!B:C,2,0)</f>
        <v>Jl. cikijang 1 no 2 kec. Koja Kel. koja</v>
      </c>
      <c r="D93" s="22">
        <f>vlookup(B93,Sheet3!B:D,3,0)</f>
        <v>38138</v>
      </c>
      <c r="E93" s="20" t="str">
        <f>vlookup(B93,Sheet3!B:F,5,0)</f>
        <v>jakarta </v>
      </c>
      <c r="F93" s="20" t="str">
        <f>vlookup(B93,Sheet3!B:H,7,0)</f>
        <v>SLTA</v>
      </c>
      <c r="G93" s="23" t="str">
        <f>vlookup(B93,Sheet3!B:I,8,0)</f>
        <v>081385983711</v>
      </c>
      <c r="H93" s="23" t="str">
        <f>vlookup(B93,Sheet3!B:J,9,0)</f>
        <v>raikaece4@gmail.com</v>
      </c>
      <c r="I93" s="24" t="s">
        <v>455</v>
      </c>
      <c r="J93" s="23" t="str">
        <f>vlookup(B93,Sheet2!B:D,3,0)</f>
        <v>TOKO PALAPA</v>
      </c>
      <c r="K93" s="23" t="str">
        <f>vlookup(A93,Sheet2!A:E,5,0)</f>
        <v>JAKARTA</v>
      </c>
      <c r="L93" s="25" t="str">
        <f>VLOOKUP(B93,Sheet3!B:L,11,0)</f>
        <v>0930183628</v>
      </c>
      <c r="M93" s="32">
        <v>46079.0</v>
      </c>
      <c r="N93" s="26">
        <v>46266.0</v>
      </c>
      <c r="O93" s="32">
        <v>46265.0</v>
      </c>
      <c r="P93" s="23" t="str">
        <f>VLOOKUP(A93,Sheet2!A:F,6,0)</f>
        <v>JAKARTA</v>
      </c>
      <c r="Q93" s="24" t="s">
        <v>501</v>
      </c>
      <c r="R93" s="27" t="s">
        <v>632</v>
      </c>
      <c r="S93" s="28">
        <v>5730000.0</v>
      </c>
      <c r="T93" s="29">
        <v>5730000.0</v>
      </c>
      <c r="U93" s="33"/>
      <c r="V93" s="19" t="s">
        <v>1028</v>
      </c>
      <c r="W93" s="31">
        <v>5729876.0</v>
      </c>
      <c r="X93" s="31">
        <v>0.0</v>
      </c>
      <c r="Y93" s="31">
        <f t="shared" si="8"/>
        <v>5729876</v>
      </c>
    </row>
    <row r="94" ht="22.5" customHeight="1">
      <c r="A94" s="19" t="s">
        <v>1072</v>
      </c>
      <c r="B94" s="20" t="s">
        <v>144</v>
      </c>
      <c r="C94" s="21" t="str">
        <f>vlookup(B94,Sheet3!B:C,2,0)</f>
        <v>kudu rt01/01 kudu baki sukoharjo</v>
      </c>
      <c r="D94" s="22">
        <f>vlookup(B94,Sheet3!B:D,3,0)</f>
        <v>38790</v>
      </c>
      <c r="E94" s="20" t="str">
        <f>vlookup(B94,Sheet3!B:F,5,0)</f>
        <v>sukoharjo</v>
      </c>
      <c r="F94" s="20" t="str">
        <f>vlookup(B94,Sheet3!B:H,7,0)</f>
        <v>SLTA</v>
      </c>
      <c r="G94" s="23" t="str">
        <f>vlookup(B94,Sheet3!B:I,8,0)</f>
        <v>088227753485</v>
      </c>
      <c r="H94" s="23" t="str">
        <f>vlookup(B94,Sheet3!B:J,9,0)</f>
        <v>revaazzahraaa11@gmail.com</v>
      </c>
      <c r="I94" s="24" t="s">
        <v>455</v>
      </c>
      <c r="J94" s="23" t="str">
        <f>vlookup(B94,Sheet2!B:D,3,0)</f>
        <v>CANDI ELECTRONIC KARTASURA</v>
      </c>
      <c r="K94" s="23" t="str">
        <f>vlookup(A94,Sheet2!A:E,5,0)</f>
        <v>SUKOHARJO</v>
      </c>
      <c r="L94" s="25">
        <f>VLOOKUP(B94,Sheet3!B:L,11,0)</f>
        <v>7851256753</v>
      </c>
      <c r="M94" s="32">
        <v>45826.0</v>
      </c>
      <c r="N94" s="26">
        <v>46266.0</v>
      </c>
      <c r="O94" s="32">
        <v>46265.0</v>
      </c>
      <c r="P94" s="23" t="str">
        <f>VLOOKUP(A94,Sheet2!A:F,6,0)</f>
        <v>SEMARANG</v>
      </c>
      <c r="Q94" s="24" t="s">
        <v>501</v>
      </c>
      <c r="R94" s="27" t="s">
        <v>505</v>
      </c>
      <c r="S94" s="28">
        <v>2500000.0</v>
      </c>
      <c r="T94" s="29">
        <v>1750000.0</v>
      </c>
      <c r="U94" s="30">
        <v>750000.0</v>
      </c>
      <c r="V94" s="23"/>
      <c r="W94" s="31">
        <v>2500000.0</v>
      </c>
      <c r="X94" s="31">
        <v>0.0</v>
      </c>
      <c r="Y94" s="31">
        <f t="shared" si="8"/>
        <v>2500000</v>
      </c>
    </row>
    <row r="95" ht="22.5" customHeight="1">
      <c r="A95" s="19" t="s">
        <v>1075</v>
      </c>
      <c r="B95" s="20" t="s">
        <v>318</v>
      </c>
      <c r="C95" s="21" t="str">
        <f>vlookup(B95,Sheet3!B:C,2,0)</f>
        <v>jln ujung pandan no 43B</v>
      </c>
      <c r="D95" s="22">
        <f>vlookup(B95,Sheet3!B:D,3,0)</f>
        <v>36521</v>
      </c>
      <c r="E95" s="20" t="str">
        <f>vlookup(B95,Sheet3!B:F,5,0)</f>
        <v>Padang</v>
      </c>
      <c r="F95" s="20" t="str">
        <f>vlookup(B95,Sheet3!B:H,7,0)</f>
        <v>SLTA</v>
      </c>
      <c r="G95" s="23" t="str">
        <f>vlookup(B95,Sheet3!B:I,8,0)</f>
        <v>082289261153</v>
      </c>
      <c r="H95" s="23" t="str">
        <f>vlookup(B95,Sheet3!B:J,9,0)</f>
        <v>rindianiherdialova27@gmail.com</v>
      </c>
      <c r="I95" s="24" t="s">
        <v>455</v>
      </c>
      <c r="J95" s="23" t="str">
        <f>vlookup(B95,Sheet2!B:D,3,0)</f>
        <v>A FAUZI</v>
      </c>
      <c r="K95" s="23" t="str">
        <f>vlookup(A95,Sheet2!A:E,5,0)</f>
        <v>PADANG</v>
      </c>
      <c r="L95" s="25">
        <f>VLOOKUP(B95,Sheet3!B:L,11,0)</f>
        <v>1630588509</v>
      </c>
      <c r="M95" s="32">
        <v>45474.0</v>
      </c>
      <c r="N95" s="26">
        <v>46266.0</v>
      </c>
      <c r="O95" s="32">
        <v>46265.0</v>
      </c>
      <c r="P95" s="23" t="str">
        <f>VLOOKUP(A95,Sheet2!A:F,6,0)</f>
        <v>PALEMBANG</v>
      </c>
      <c r="Q95" s="24" t="s">
        <v>501</v>
      </c>
      <c r="R95" s="27" t="s">
        <v>505</v>
      </c>
      <c r="S95" s="28">
        <v>3183000.0</v>
      </c>
      <c r="T95" s="29">
        <v>2228100.0</v>
      </c>
      <c r="U95" s="30">
        <v>954900.0</v>
      </c>
      <c r="V95" s="23"/>
      <c r="W95" s="31">
        <v>3182955.0</v>
      </c>
      <c r="X95" s="31">
        <v>0.0</v>
      </c>
      <c r="Y95" s="31">
        <f t="shared" si="8"/>
        <v>3182955</v>
      </c>
    </row>
    <row r="96" ht="22.5" customHeight="1">
      <c r="A96" s="19" t="s">
        <v>1081</v>
      </c>
      <c r="B96" s="20" t="s">
        <v>384</v>
      </c>
      <c r="C96" s="21" t="str">
        <f>vlookup(B96,Sheet3!B:C,2,0)</f>
        <v>Ngaglik RT01/RW 03,Manjung,Ngawen,klaten</v>
      </c>
      <c r="D96" s="22">
        <f>vlookup(B96,Sheet3!B:D,3,0)</f>
        <v>34287</v>
      </c>
      <c r="E96" s="20" t="str">
        <f>vlookup(B96,Sheet3!B:F,5,0)</f>
        <v>Klaten</v>
      </c>
      <c r="F96" s="20" t="str">
        <f>vlookup(B96,Sheet3!B:H,7,0)</f>
        <v>SLTA</v>
      </c>
      <c r="G96" s="23" t="str">
        <f>vlookup(B96,Sheet3!B:I,8,0)</f>
        <v>085725777296</v>
      </c>
      <c r="H96" s="23" t="str">
        <f>vlookup(B96,Sheet3!B:J,9,0)</f>
        <v>Rirismustika575@gamil.com</v>
      </c>
      <c r="I96" s="24" t="s">
        <v>455</v>
      </c>
      <c r="J96" s="23" t="str">
        <f>vlookup(B96,Sheet2!B:D,3,0)</f>
        <v>LARIS KLATEN</v>
      </c>
      <c r="K96" s="23" t="str">
        <f>vlookup(A96,Sheet2!A:E,5,0)</f>
        <v>KLATEN</v>
      </c>
      <c r="L96" s="25" t="str">
        <f>VLOOKUP(B96,Sheet3!B:L,11,0)</f>
        <v>0301481984</v>
      </c>
      <c r="M96" s="32">
        <v>45636.0</v>
      </c>
      <c r="N96" s="26">
        <v>46266.0</v>
      </c>
      <c r="O96" s="32">
        <v>46265.0</v>
      </c>
      <c r="P96" s="23" t="str">
        <f>VLOOKUP(A96,Sheet2!A:F,6,0)</f>
        <v>SEMARANG</v>
      </c>
      <c r="Q96" s="24" t="s">
        <v>501</v>
      </c>
      <c r="R96" s="27" t="s">
        <v>505</v>
      </c>
      <c r="S96" s="28">
        <v>2539000.0</v>
      </c>
      <c r="T96" s="29">
        <v>1777300.0</v>
      </c>
      <c r="U96" s="30">
        <v>761700.0</v>
      </c>
      <c r="V96" s="23"/>
      <c r="W96" s="31">
        <v>2538691.0</v>
      </c>
      <c r="X96" s="31">
        <v>0.0</v>
      </c>
      <c r="Y96" s="31">
        <f t="shared" si="8"/>
        <v>2538691</v>
      </c>
    </row>
    <row r="97" ht="22.5" customHeight="1">
      <c r="A97" s="19" t="s">
        <v>1091</v>
      </c>
      <c r="B97" s="20" t="s">
        <v>212</v>
      </c>
      <c r="C97" s="21" t="str">
        <f>vlookup(B97,Sheet3!B:C,2,0)</f>
        <v>Jalan Ploso 1 no 16 a</v>
      </c>
      <c r="D97" s="22">
        <f>vlookup(B97,Sheet3!B:D,3,0)</f>
        <v>35238</v>
      </c>
      <c r="E97" s="20" t="str">
        <f>vlookup(B97,Sheet3!B:F,5,0)</f>
        <v>Surabaya</v>
      </c>
      <c r="F97" s="20" t="str">
        <f>vlookup(B97,Sheet3!B:H,7,0)</f>
        <v>SLTA</v>
      </c>
      <c r="G97" s="23" t="str">
        <f>vlookup(B97,Sheet3!B:I,8,0)</f>
        <v>089678564827</v>
      </c>
      <c r="H97" s="23" t="str">
        <f>vlookup(B97,Sheet3!B:J,9,0)</f>
        <v>ristabella274@gmail.com</v>
      </c>
      <c r="I97" s="24" t="s">
        <v>1414</v>
      </c>
      <c r="J97" s="23" t="str">
        <f>vlookup(B97,Sheet2!B:D,3,0)</f>
        <v>HARTONO KERTAJAYA INDAH</v>
      </c>
      <c r="K97" s="23" t="str">
        <f>vlookup(A97,Sheet2!A:E,5,0)</f>
        <v>SURABAYA</v>
      </c>
      <c r="L97" s="25">
        <f>VLOOKUP(B97,Sheet3!B:L,11,0)</f>
        <v>5190184422</v>
      </c>
      <c r="M97" s="32">
        <v>46043.0</v>
      </c>
      <c r="N97" s="26">
        <v>46266.0</v>
      </c>
      <c r="O97" s="32">
        <v>46265.0</v>
      </c>
      <c r="P97" s="23" t="str">
        <f>VLOOKUP(A97,Sheet2!A:F,6,0)</f>
        <v>SURABAYA</v>
      </c>
      <c r="Q97" s="24" t="s">
        <v>501</v>
      </c>
      <c r="R97" s="27" t="s">
        <v>632</v>
      </c>
      <c r="S97" s="28">
        <v>5289000.0</v>
      </c>
      <c r="T97" s="29">
        <v>5289000.0</v>
      </c>
      <c r="U97" s="33"/>
      <c r="V97" s="23"/>
      <c r="W97" s="31">
        <v>5288796.0</v>
      </c>
      <c r="X97" s="31">
        <v>0.0</v>
      </c>
      <c r="Y97" s="31">
        <f t="shared" si="8"/>
        <v>5288796</v>
      </c>
    </row>
    <row r="98" ht="22.5" customHeight="1">
      <c r="A98" s="19" t="s">
        <v>1092</v>
      </c>
      <c r="B98" s="20" t="s">
        <v>233</v>
      </c>
      <c r="C98" s="21" t="str">
        <f>vlookup(B98,Sheet3!B:C,2,0)</f>
        <v>Dsn Ngadimulyo RT/RW 002/002, Ds Bulurejo, Kec Purwoharjo, Kab Banyuwangi</v>
      </c>
      <c r="D98" s="22">
        <f>vlookup(B98,Sheet3!B:D,3,0)</f>
        <v>37232</v>
      </c>
      <c r="E98" s="20" t="str">
        <f>vlookup(B98,Sheet3!B:F,5,0)</f>
        <v>Banyuwangi</v>
      </c>
      <c r="F98" s="20" t="str">
        <f>vlookup(B98,Sheet3!B:H,7,0)</f>
        <v>S1</v>
      </c>
      <c r="G98" s="23" t="str">
        <f>vlookup(B98,Sheet3!B:I,8,0)</f>
        <v>085231231536</v>
      </c>
      <c r="H98" s="23" t="str">
        <f>vlookup(B98,Sheet3!B:J,9,0)</f>
        <v>rizkynandakarunia712@gmail.com</v>
      </c>
      <c r="I98" s="24" t="s">
        <v>455</v>
      </c>
      <c r="J98" s="23" t="str">
        <f>vlookup(B98,Sheet2!B:D,3,0)</f>
        <v>MEDIA ELEKTRONIK DENPASAR</v>
      </c>
      <c r="K98" s="19" t="s">
        <v>1371</v>
      </c>
      <c r="L98" s="25">
        <f>VLOOKUP(B98,Sheet3!B:L,11,0)</f>
        <v>3510460391</v>
      </c>
      <c r="M98" s="32">
        <v>46084.0</v>
      </c>
      <c r="N98" s="26">
        <v>46266.0</v>
      </c>
      <c r="O98" s="32">
        <v>46265.0</v>
      </c>
      <c r="P98" s="23" t="str">
        <f>VLOOKUP(A98,Sheet2!A:F,6,0)</f>
        <v>SURABAYA</v>
      </c>
      <c r="Q98" s="24" t="s">
        <v>501</v>
      </c>
      <c r="R98" s="27" t="s">
        <v>505</v>
      </c>
      <c r="S98" s="28">
        <v>3500000.0</v>
      </c>
      <c r="T98" s="29">
        <v>2450000.0</v>
      </c>
      <c r="U98" s="30">
        <v>1050000.0</v>
      </c>
      <c r="V98" s="23"/>
      <c r="W98" s="31">
        <v>3499878.0</v>
      </c>
      <c r="X98" s="31">
        <v>0.0</v>
      </c>
      <c r="Y98" s="31">
        <f t="shared" si="8"/>
        <v>3499878</v>
      </c>
    </row>
    <row r="99" ht="22.5" customHeight="1">
      <c r="A99" s="19" t="s">
        <v>1095</v>
      </c>
      <c r="B99" s="20" t="s">
        <v>1097</v>
      </c>
      <c r="C99" s="21" t="str">
        <f>vlookup(B99,Sheet3!B:C,2,0)</f>
        <v>Jl.Plumbon RT06 RW03 WONOSARI NGALIYAN SEMARANG</v>
      </c>
      <c r="D99" s="22">
        <f>vlookup(B99,Sheet3!B:D,3,0)</f>
        <v>34541</v>
      </c>
      <c r="E99" s="20" t="str">
        <f>vlookup(B99,Sheet3!B:F,5,0)</f>
        <v>Semarang </v>
      </c>
      <c r="F99" s="20" t="str">
        <f>vlookup(B99,Sheet3!B:H,7,0)</f>
        <v>S1</v>
      </c>
      <c r="G99" s="23" t="str">
        <f>vlookup(B99,Sheet3!B:I,8,0)</f>
        <v>0895359984060</v>
      </c>
      <c r="H99" s="23" t="str">
        <f>vlookup(B99,Sheet3!B:J,9,0)</f>
        <v>robysugiarti21@gmail.com</v>
      </c>
      <c r="I99" s="24" t="s">
        <v>455</v>
      </c>
      <c r="J99" s="23" t="str">
        <f>vlookup(B99,Sheet2!B:D,3,0)</f>
        <v>PASIFIK PEKOJAN</v>
      </c>
      <c r="K99" s="23" t="str">
        <f>vlookup(A99,Sheet2!A:E,5,0)</f>
        <v>SEMARANG</v>
      </c>
      <c r="L99" s="25" t="str">
        <f>VLOOKUP(B99,Sheet3!B:L,11,0)</f>
        <v>0092461121</v>
      </c>
      <c r="M99" s="32"/>
      <c r="N99" s="32"/>
      <c r="O99" s="32"/>
      <c r="P99" s="23" t="str">
        <f>VLOOKUP(A99,Sheet2!A:F,6,0)</f>
        <v>SEMARANG</v>
      </c>
      <c r="Q99" s="24" t="s">
        <v>501</v>
      </c>
      <c r="R99" s="27" t="s">
        <v>505</v>
      </c>
      <c r="S99" s="28">
        <v>3702000.0</v>
      </c>
      <c r="T99" s="29">
        <v>2591400.0</v>
      </c>
      <c r="U99" s="30">
        <v>1110600.0</v>
      </c>
      <c r="V99" s="23"/>
      <c r="W99" s="31"/>
      <c r="X99" s="31"/>
      <c r="Y99" s="65"/>
    </row>
    <row r="100" ht="22.5" customHeight="1">
      <c r="A100" s="19" t="s">
        <v>1100</v>
      </c>
      <c r="B100" s="20" t="s">
        <v>252</v>
      </c>
      <c r="C100" s="21" t="str">
        <f>vlookup(B100,Sheet3!B:C,2,0)</f>
        <v>JL CILENGKRNG II PALASARI V RT 001/007 PALASARI, CIBIRU</v>
      </c>
      <c r="D100" s="22">
        <f>vlookup(B100,Sheet3!B:D,3,0)</f>
        <v>36747</v>
      </c>
      <c r="E100" s="20" t="str">
        <f>vlookup(B100,Sheet3!B:F,5,0)</f>
        <v>BANDUNG</v>
      </c>
      <c r="F100" s="20" t="str">
        <f>vlookup(B100,Sheet3!B:H,7,0)</f>
        <v>SLTA</v>
      </c>
      <c r="G100" s="23" t="str">
        <f>vlookup(B100,Sheet3!B:I,8,0)</f>
        <v>085624685906</v>
      </c>
      <c r="H100" s="23" t="str">
        <f>vlookup(B100,Sheet3!B:J,9,0)</f>
        <v>sblfdllh@gmail.com</v>
      </c>
      <c r="I100" s="24" t="s">
        <v>455</v>
      </c>
      <c r="J100" s="23" t="str">
        <f>vlookup(B100,Sheet2!B:D,3,0)</f>
        <v>MUTIARA SUPER KITCHEN UJUNG BERUNG</v>
      </c>
      <c r="K100" s="23" t="str">
        <f>vlookup(A100,Sheet2!A:E,5,0)</f>
        <v>BANDUNG</v>
      </c>
      <c r="L100" s="25">
        <f>VLOOKUP(B100,Sheet3!B:L,11,0)</f>
        <v>2831985111</v>
      </c>
      <c r="M100" s="32">
        <v>46161.0</v>
      </c>
      <c r="N100" s="26">
        <v>46266.0</v>
      </c>
      <c r="O100" s="32">
        <v>46265.0</v>
      </c>
      <c r="P100" s="23" t="str">
        <f>VLOOKUP(A100,Sheet2!A:F,6,0)</f>
        <v>BANDUNG</v>
      </c>
      <c r="Q100" s="24" t="s">
        <v>501</v>
      </c>
      <c r="R100" s="27" t="s">
        <v>505</v>
      </c>
      <c r="S100" s="28">
        <v>4738000.0</v>
      </c>
      <c r="T100" s="29">
        <v>3316600.0</v>
      </c>
      <c r="U100" s="30">
        <v>1421400.0</v>
      </c>
      <c r="V100" s="23"/>
      <c r="W100" s="31">
        <v>4737678.0</v>
      </c>
      <c r="X100" s="31">
        <v>0.0</v>
      </c>
      <c r="Y100" s="31">
        <f t="shared" ref="Y100:Y105" si="9">W100+X100</f>
        <v>4737678</v>
      </c>
    </row>
    <row r="101" ht="22.5" customHeight="1">
      <c r="A101" s="19" t="s">
        <v>1104</v>
      </c>
      <c r="B101" s="20" t="s">
        <v>251</v>
      </c>
      <c r="C101" s="21" t="str">
        <f>vlookup(B101,Sheet3!B:C,2,0)</f>
        <v>Jl. Medan seri gg.sri fajar, padang tikar 2 </v>
      </c>
      <c r="D101" s="22">
        <f>vlookup(B101,Sheet3!B:D,3,0)</f>
        <v>36045</v>
      </c>
      <c r="E101" s="20" t="str">
        <f>vlookup(B101,Sheet3!B:F,5,0)</f>
        <v>Padang tikar</v>
      </c>
      <c r="F101" s="20" t="str">
        <f>vlookup(B101,Sheet3!B:H,7,0)</f>
        <v>S1</v>
      </c>
      <c r="G101" s="23" t="str">
        <f>vlookup(B101,Sheet3!B:I,8,0)</f>
        <v>082190203090</v>
      </c>
      <c r="H101" s="23" t="str">
        <f>vlookup(B101,Sheet3!B:J,9,0)</f>
        <v>septianasisi45@gmail.com</v>
      </c>
      <c r="I101" s="24" t="s">
        <v>455</v>
      </c>
      <c r="J101" s="23" t="str">
        <f>vlookup(B101,Sheet2!B:D,3,0)</f>
        <v>NUANSA MARTAPURA</v>
      </c>
      <c r="K101" s="19" t="s">
        <v>1970</v>
      </c>
      <c r="L101" s="25" t="str">
        <f>VLOOKUP(B101,Sheet3!B:L,11,0)</f>
        <v>0292586823</v>
      </c>
      <c r="M101" s="32">
        <v>46153.0</v>
      </c>
      <c r="N101" s="26">
        <v>46266.0</v>
      </c>
      <c r="O101" s="32">
        <v>46265.0</v>
      </c>
      <c r="P101" s="23" t="str">
        <f>VLOOKUP(A101,Sheet2!A:F,6,0)</f>
        <v>BANJARMASIN</v>
      </c>
      <c r="Q101" s="24" t="s">
        <v>501</v>
      </c>
      <c r="R101" s="27" t="s">
        <v>505</v>
      </c>
      <c r="S101" s="28">
        <v>3856000.0</v>
      </c>
      <c r="T101" s="29">
        <v>2699200.0</v>
      </c>
      <c r="U101" s="30">
        <v>1156800.0</v>
      </c>
      <c r="V101" s="23"/>
      <c r="W101" s="31">
        <v>3843037.0</v>
      </c>
      <c r="X101" s="31">
        <v>0.0</v>
      </c>
      <c r="Y101" s="31">
        <f t="shared" si="9"/>
        <v>3843037</v>
      </c>
    </row>
    <row r="102" ht="22.5" customHeight="1">
      <c r="A102" s="19" t="s">
        <v>1107</v>
      </c>
      <c r="B102" s="20" t="s">
        <v>150</v>
      </c>
      <c r="C102" s="21" t="str">
        <f>vlookup(B102,Sheet3!B:C,2,0)</f>
        <v>Kp.kelapa 012/002 Kel.Rahayu, kec.patia, kab.Pandeglang, prov banten</v>
      </c>
      <c r="D102" s="22">
        <f>vlookup(B102,Sheet3!B:D,3,0)</f>
        <v>37652</v>
      </c>
      <c r="E102" s="20" t="str">
        <f>vlookup(B102,Sheet3!B:F,5,0)</f>
        <v>Pandeglang </v>
      </c>
      <c r="F102" s="20" t="str">
        <f>vlookup(B102,Sheet3!B:H,7,0)</f>
        <v>SLTA</v>
      </c>
      <c r="G102" s="23" t="str">
        <f>vlookup(B102,Sheet3!B:I,8,0)</f>
        <v>085691568762</v>
      </c>
      <c r="H102" s="23" t="str">
        <f>vlookup(B102,Sheet3!B:J,9,0)</f>
        <v>arimaaaa31@gmail.com</v>
      </c>
      <c r="I102" s="24" t="s">
        <v>455</v>
      </c>
      <c r="J102" s="23" t="str">
        <f>vlookup(B102,Sheet2!B:D,3,0)</f>
        <v>TOKO AMAC</v>
      </c>
      <c r="K102" s="23" t="str">
        <f>vlookup(A102,Sheet2!A:E,5,0)</f>
        <v>TANGERANG</v>
      </c>
      <c r="L102" s="25">
        <f>VLOOKUP(B102,Sheet3!B:L,11,0)</f>
        <v>4900427021</v>
      </c>
      <c r="M102" s="32">
        <v>45838.0</v>
      </c>
      <c r="N102" s="26">
        <v>46266.0</v>
      </c>
      <c r="O102" s="32">
        <v>46265.0</v>
      </c>
      <c r="P102" s="23" t="str">
        <f>VLOOKUP(A102,Sheet2!A:F,6,0)</f>
        <v>JAKARTA</v>
      </c>
      <c r="Q102" s="24" t="s">
        <v>501</v>
      </c>
      <c r="R102" s="27" t="s">
        <v>505</v>
      </c>
      <c r="S102" s="28">
        <v>5730000.0</v>
      </c>
      <c r="T102" s="29">
        <v>4011000.0</v>
      </c>
      <c r="U102" s="30">
        <v>1719000.0</v>
      </c>
      <c r="V102" s="23"/>
      <c r="W102" s="31">
        <v>5399405.0</v>
      </c>
      <c r="X102" s="31">
        <v>0.0</v>
      </c>
      <c r="Y102" s="31">
        <f t="shared" si="9"/>
        <v>5399405</v>
      </c>
    </row>
    <row r="103" ht="22.5" customHeight="1">
      <c r="A103" s="19" t="s">
        <v>1110</v>
      </c>
      <c r="B103" s="20" t="s">
        <v>125</v>
      </c>
      <c r="C103" s="21" t="str">
        <f>vlookup(B103,Sheet3!B:C,2,0)</f>
        <v>Bumi pesanggrahan indah Blok C6 no.6 rt/rw 005/010 kel. Cilebut barat kec. Sukaraja kab. Bogor</v>
      </c>
      <c r="D103" s="22">
        <f>vlookup(B103,Sheet3!B:D,3,0)</f>
        <v>31546</v>
      </c>
      <c r="E103" s="20" t="str">
        <f>vlookup(B103,Sheet3!B:F,5,0)</f>
        <v>Ciamis</v>
      </c>
      <c r="F103" s="20" t="str">
        <f>vlookup(B103,Sheet3!B:H,7,0)</f>
        <v>SLTA</v>
      </c>
      <c r="G103" s="23" t="str">
        <f>vlookup(B103,Sheet3!B:I,8,0)</f>
        <v>085211110630</v>
      </c>
      <c r="H103" s="23" t="str">
        <f>vlookup(B103,Sheet3!B:J,9,0)</f>
        <v>sitimaryam140586@gmail.com</v>
      </c>
      <c r="I103" s="24" t="s">
        <v>455</v>
      </c>
      <c r="J103" s="23" t="str">
        <f>vlookup(B103,Sheet2!B:D,3,0)</f>
        <v>CAHAYA BARU</v>
      </c>
      <c r="K103" s="23" t="str">
        <f>vlookup(A103,Sheet2!A:E,5,0)</f>
        <v>BOGOR</v>
      </c>
      <c r="L103" s="25">
        <f>VLOOKUP(B103,Sheet3!B:L,11,0)</f>
        <v>4210353190</v>
      </c>
      <c r="M103" s="32">
        <v>45796.0</v>
      </c>
      <c r="N103" s="26">
        <v>46266.0</v>
      </c>
      <c r="O103" s="32">
        <v>46265.0</v>
      </c>
      <c r="P103" s="23" t="str">
        <f>VLOOKUP(A103,Sheet2!A:F,6,0)</f>
        <v>BANDUNG</v>
      </c>
      <c r="Q103" s="24" t="s">
        <v>501</v>
      </c>
      <c r="R103" s="27" t="s">
        <v>505</v>
      </c>
      <c r="S103" s="28">
        <v>5438000.0</v>
      </c>
      <c r="T103" s="85" t="s">
        <v>1977</v>
      </c>
      <c r="U103" s="92" t="s">
        <v>1978</v>
      </c>
      <c r="V103" s="23"/>
      <c r="W103" s="31">
        <v>5437203.0</v>
      </c>
      <c r="X103" s="31">
        <v>0.0</v>
      </c>
      <c r="Y103" s="31">
        <f t="shared" si="9"/>
        <v>5437203</v>
      </c>
    </row>
    <row r="104" ht="22.5" customHeight="1">
      <c r="A104" s="19" t="s">
        <v>1114</v>
      </c>
      <c r="B104" s="20" t="s">
        <v>567</v>
      </c>
      <c r="C104" s="21" t="str">
        <f>vlookup(B104,Sheet3!B:C,2,0)</f>
        <v>Jl kandea 3 KIP 7 no 28B</v>
      </c>
      <c r="D104" s="22">
        <f>vlookup(B104,Sheet3!B:D,3,0)</f>
        <v>37595</v>
      </c>
      <c r="E104" s="20" t="str">
        <f>vlookup(B104,Sheet3!B:F,5,0)</f>
        <v>MAKASSAR </v>
      </c>
      <c r="F104" s="20" t="str">
        <f>vlookup(B104,Sheet3!B:H,7,0)</f>
        <v>SLTA</v>
      </c>
      <c r="G104" s="23" t="str">
        <f>vlookup(B104,Sheet3!B:I,8,0)</f>
        <v>085824786974</v>
      </c>
      <c r="H104" s="23" t="str">
        <f>vlookup(B104,Sheet3!B:J,9,0)</f>
        <v>vhyrawati055@gmail.com</v>
      </c>
      <c r="I104" s="24" t="s">
        <v>455</v>
      </c>
      <c r="J104" s="23" t="str">
        <f>vlookup(B104,Sheet2!B:D,3,0)</f>
        <v>ALASKA</v>
      </c>
      <c r="K104" s="23" t="str">
        <f>vlookup(A104,Sheet2!A:E,5,0)</f>
        <v>MAKASSAR</v>
      </c>
      <c r="L104" s="76">
        <v>1.580879981E9</v>
      </c>
      <c r="M104" s="32">
        <f>vlookup(B104,'data staffinc_3'!B:I,7,0)</f>
        <v>46024</v>
      </c>
      <c r="N104" s="26">
        <v>46266.0</v>
      </c>
      <c r="O104" s="32">
        <f>vlookup(B104,'data staffinc_3'!B:I,8,0)</f>
        <v>46265</v>
      </c>
      <c r="P104" s="23" t="str">
        <f>VLOOKUP(A104,Sheet2!A:F,6,0)</f>
        <v>MAKASSAR</v>
      </c>
      <c r="Q104" s="24" t="s">
        <v>501</v>
      </c>
      <c r="R104" s="27" t="s">
        <v>505</v>
      </c>
      <c r="S104" s="28">
        <v>4149000.0</v>
      </c>
      <c r="T104" s="29">
        <v>2904300.0</v>
      </c>
      <c r="U104" s="30">
        <v>1244700.0</v>
      </c>
      <c r="V104" s="23"/>
      <c r="W104" s="31">
        <v>4148179.0</v>
      </c>
      <c r="X104" s="31">
        <v>0.0</v>
      </c>
      <c r="Y104" s="31">
        <f t="shared" si="9"/>
        <v>4148179</v>
      </c>
    </row>
    <row r="105" ht="22.5" customHeight="1">
      <c r="A105" s="19" t="s">
        <v>1116</v>
      </c>
      <c r="B105" s="20" t="s">
        <v>159</v>
      </c>
      <c r="C105" s="21" t="str">
        <f>vlookup(B105,Sheet3!B:C,2,0)</f>
        <v>jp.usaha GG.usaha no.08</v>
      </c>
      <c r="D105" s="22">
        <f>vlookup(B105,Sheet3!B:D,3,0)</f>
        <v>33809</v>
      </c>
      <c r="E105" s="20" t="str">
        <f>vlookup(B105,Sheet3!B:F,5,0)</f>
        <v>Pekanbaru </v>
      </c>
      <c r="F105" s="20" t="str">
        <f>vlookup(B105,Sheet3!B:H,7,0)</f>
        <v>SLTA</v>
      </c>
      <c r="G105" s="23" t="str">
        <f>vlookup(B105,Sheet3!B:I,8,0)</f>
        <v>082170183096</v>
      </c>
      <c r="H105" s="23" t="str">
        <f>vlookup(B105,Sheet3!B:J,9,0)</f>
        <v>sri692636@gmail.com</v>
      </c>
      <c r="I105" s="24" t="s">
        <v>455</v>
      </c>
      <c r="J105" s="23" t="str">
        <f>vlookup(B105,Sheet2!B:D,3,0)</f>
        <v>GOLDEN DRAGON ELEKTRONIK</v>
      </c>
      <c r="K105" s="23" t="str">
        <f>vlookup(A105,Sheet2!A:E,5,0)</f>
        <v>PEKANBARU</v>
      </c>
      <c r="L105" s="25" t="str">
        <f>VLOOKUP(B105,Sheet3!B:L,11,0)</f>
        <v>0343010483</v>
      </c>
      <c r="M105" s="32">
        <v>44816.0</v>
      </c>
      <c r="N105" s="26">
        <v>46266.0</v>
      </c>
      <c r="O105" s="32">
        <v>46265.0</v>
      </c>
      <c r="P105" s="23" t="str">
        <f>VLOOKUP(A105,Sheet2!A:F,6,0)</f>
        <v>LAMPUNG</v>
      </c>
      <c r="Q105" s="24" t="s">
        <v>501</v>
      </c>
      <c r="R105" s="27" t="s">
        <v>505</v>
      </c>
      <c r="S105" s="28">
        <v>3999000.0</v>
      </c>
      <c r="T105" s="29">
        <v>2799300.0</v>
      </c>
      <c r="U105" s="30">
        <v>1199700.0</v>
      </c>
      <c r="V105" s="23"/>
      <c r="W105" s="31">
        <v>3998179.0</v>
      </c>
      <c r="X105" s="31">
        <v>0.0</v>
      </c>
      <c r="Y105" s="31">
        <f t="shared" si="9"/>
        <v>3998179</v>
      </c>
    </row>
    <row r="106" ht="22.5" customHeight="1">
      <c r="A106" s="19" t="s">
        <v>1120</v>
      </c>
      <c r="B106" s="20" t="s">
        <v>1122</v>
      </c>
      <c r="C106" s="21" t="str">
        <f>vlookup(B106,Sheet3!B:C,2,0)</f>
        <v>Desa pandere </v>
      </c>
      <c r="D106" s="22">
        <f>vlookup(B106,Sheet3!B:D,3,0)</f>
        <v>33792</v>
      </c>
      <c r="E106" s="20" t="str">
        <f>vlookup(B106,Sheet3!B:F,5,0)</f>
        <v>Sulawesi Tengah </v>
      </c>
      <c r="F106" s="20" t="str">
        <f>vlookup(B106,Sheet3!B:H,7,0)</f>
        <v>SLTA</v>
      </c>
      <c r="G106" s="23" t="str">
        <f>vlookup(B106,Sheet3!B:I,8,0)</f>
        <v>082350401093</v>
      </c>
      <c r="H106" s="23" t="str">
        <f>vlookup(B106,Sheet3!B:J,9,0)</f>
        <v>wulannalinisalim@gmail.com</v>
      </c>
      <c r="I106" s="24" t="s">
        <v>455</v>
      </c>
      <c r="J106" s="23" t="str">
        <f>vlookup(B106,Sheet2!B:D,3,0)</f>
        <v>HOKKY HOUSE WARE</v>
      </c>
      <c r="K106" s="23" t="str">
        <f>vlookup(A106,Sheet2!A:E,5,0)</f>
        <v>PALU</v>
      </c>
      <c r="L106" s="25">
        <f>VLOOKUP(B106,Sheet3!B:L,11,0)</f>
        <v>7795089454</v>
      </c>
      <c r="M106" s="32"/>
      <c r="N106" s="32"/>
      <c r="O106" s="32"/>
      <c r="P106" s="23" t="str">
        <f>VLOOKUP(A106,Sheet2!A:F,6,0)</f>
        <v>MAKASSAR</v>
      </c>
      <c r="Q106" s="24" t="s">
        <v>501</v>
      </c>
      <c r="R106" s="27" t="s">
        <v>505</v>
      </c>
      <c r="S106" s="28">
        <v>4149000.0</v>
      </c>
      <c r="T106" s="29">
        <v>2904300.0</v>
      </c>
      <c r="U106" s="30">
        <v>1244700.0</v>
      </c>
      <c r="V106" s="23"/>
      <c r="W106" s="31"/>
      <c r="X106" s="31"/>
      <c r="Y106" s="65"/>
    </row>
    <row r="107" ht="22.5" customHeight="1">
      <c r="A107" s="19" t="s">
        <v>1124</v>
      </c>
      <c r="B107" s="20" t="s">
        <v>223</v>
      </c>
      <c r="C107" s="21" t="str">
        <f>vlookup(B107,Sheet3!B:C,2,0)</f>
        <v>Jl masa karya</v>
      </c>
      <c r="D107" s="22">
        <f>vlookup(B107,Sheet3!B:D,3,0)</f>
        <v>35126</v>
      </c>
      <c r="E107" s="20" t="str">
        <f>vlookup(B107,Sheet3!B:F,5,0)</f>
        <v>Pekanbaru</v>
      </c>
      <c r="F107" s="20" t="str">
        <f>vlookup(B107,Sheet3!B:H,7,0)</f>
        <v>SLTA</v>
      </c>
      <c r="G107" s="23" t="str">
        <f>vlookup(B107,Sheet3!B:I,8,0)</f>
        <v>081276245878</v>
      </c>
      <c r="H107" s="23" t="str">
        <f>vlookup(B107,Sheet3!B:J,9,0)</f>
        <v>ucii.2396@gmail.com</v>
      </c>
      <c r="I107" s="24" t="s">
        <v>455</v>
      </c>
      <c r="J107" s="23" t="str">
        <f>vlookup(B107,Sheet2!B:D,3,0)</f>
        <v>BERKAT ELEKTRONIK</v>
      </c>
      <c r="K107" s="23" t="str">
        <f>vlookup(A107,Sheet2!A:E,5,0)</f>
        <v>PEKANBARU</v>
      </c>
      <c r="L107" s="25">
        <f>VLOOKUP(B107,Sheet3!B:L,11,0)</f>
        <v>8455584686</v>
      </c>
      <c r="M107" s="32">
        <v>44963.0</v>
      </c>
      <c r="N107" s="26">
        <v>46266.0</v>
      </c>
      <c r="O107" s="32">
        <v>46265.0</v>
      </c>
      <c r="P107" s="23" t="str">
        <f>VLOOKUP(A107,Sheet2!A:F,6,0)</f>
        <v>LAMPUNG</v>
      </c>
      <c r="Q107" s="24" t="s">
        <v>501</v>
      </c>
      <c r="R107" s="27" t="s">
        <v>505</v>
      </c>
      <c r="S107" s="28">
        <v>3999000.0</v>
      </c>
      <c r="T107" s="29">
        <v>2799300.0</v>
      </c>
      <c r="U107" s="30">
        <v>1199700.0</v>
      </c>
      <c r="V107" s="23"/>
      <c r="W107" s="31">
        <v>3898210.0</v>
      </c>
      <c r="X107" s="31">
        <v>0.0</v>
      </c>
      <c r="Y107" s="31">
        <f t="shared" ref="Y107:Y117" si="10">W107+X107</f>
        <v>3898210</v>
      </c>
    </row>
    <row r="108" ht="22.5" customHeight="1">
      <c r="A108" s="19" t="s">
        <v>1126</v>
      </c>
      <c r="B108" s="20" t="s">
        <v>299</v>
      </c>
      <c r="C108" s="21" t="str">
        <f>vlookup(B108,Sheet3!B:C,2,0)</f>
        <v>JATIA, KELURAHAN MATA ALLO, KECAMATAN BAJENG, KABUPATEN GOWA</v>
      </c>
      <c r="D108" s="22">
        <f>vlookup(B108,Sheet3!B:D,3,0)</f>
        <v>34603</v>
      </c>
      <c r="E108" s="20" t="str">
        <f>vlookup(B108,Sheet3!B:F,5,0)</f>
        <v>MAKASSAR</v>
      </c>
      <c r="F108" s="20" t="str">
        <f>vlookup(B108,Sheet3!B:H,7,0)</f>
        <v>SLTA</v>
      </c>
      <c r="G108" s="23" t="str">
        <f>vlookup(B108,Sheet3!B:I,8,0)</f>
        <v>087845027416</v>
      </c>
      <c r="H108" s="23" t="str">
        <f>vlookup(B108,Sheet3!B:J,9,0)</f>
        <v>aimanslipknot123@gmail.com</v>
      </c>
      <c r="I108" s="24" t="s">
        <v>455</v>
      </c>
      <c r="J108" s="23" t="str">
        <f>vlookup(B108,Sheet2!B:D,3,0)</f>
        <v>SEMERU PERINTIS</v>
      </c>
      <c r="K108" s="23" t="str">
        <f>vlookup(A108,Sheet2!A:E,5,0)</f>
        <v>MAKASSAR</v>
      </c>
      <c r="L108" s="25">
        <f>VLOOKUP(B108,Sheet3!B:L,11,0)</f>
        <v>6485307366</v>
      </c>
      <c r="M108" s="32">
        <v>45356.0</v>
      </c>
      <c r="N108" s="26">
        <v>46266.0</v>
      </c>
      <c r="O108" s="32">
        <v>46265.0</v>
      </c>
      <c r="P108" s="23" t="str">
        <f>VLOOKUP(A108,Sheet2!A:F,6,0)</f>
        <v>MAKASSAR</v>
      </c>
      <c r="Q108" s="24" t="s">
        <v>501</v>
      </c>
      <c r="R108" s="27" t="s">
        <v>505</v>
      </c>
      <c r="S108" s="28">
        <v>4149000.0</v>
      </c>
      <c r="T108" s="29">
        <v>2904300.0</v>
      </c>
      <c r="U108" s="30">
        <v>1244700.0</v>
      </c>
      <c r="V108" s="23"/>
      <c r="W108" s="31">
        <v>4148179.0</v>
      </c>
      <c r="X108" s="31">
        <v>0.0</v>
      </c>
      <c r="Y108" s="31">
        <f t="shared" si="10"/>
        <v>4148179</v>
      </c>
    </row>
    <row r="109" ht="22.5" customHeight="1">
      <c r="A109" s="19" t="s">
        <v>1129</v>
      </c>
      <c r="B109" s="20" t="s">
        <v>548</v>
      </c>
      <c r="C109" s="21" t="str">
        <f>vlookup(B109,Sheet3!B:C,2,0)</f>
        <v>DSN KRAJAN 1</v>
      </c>
      <c r="D109" s="22">
        <f>vlookup(B109,Sheet3!B:D,3,0)</f>
        <v>38996</v>
      </c>
      <c r="E109" s="20" t="str">
        <f>vlookup(B109,Sheet3!B:F,5,0)</f>
        <v>Banyuwangi</v>
      </c>
      <c r="F109" s="20" t="str">
        <f>vlookup(B109,Sheet3!B:H,7,0)</f>
        <v>SLTA</v>
      </c>
      <c r="G109" s="23" t="str">
        <f>vlookup(B109,Sheet3!B:I,8,0)</f>
        <v>087731284107</v>
      </c>
      <c r="H109" s="23" t="str">
        <f>vlookup(B109,Sheet3!B:J,9,0)</f>
        <v>syfadwiayu06@gmail.com</v>
      </c>
      <c r="I109" s="24" t="s">
        <v>455</v>
      </c>
      <c r="J109" s="23" t="str">
        <f>vlookup(B109,Sheet2!B:D,3,0)</f>
        <v>BARES ROGOJAMPI</v>
      </c>
      <c r="K109" s="23" t="str">
        <f>vlookup(A109,Sheet2!A:E,5,0)</f>
        <v>BANYUWANGI</v>
      </c>
      <c r="L109" s="25">
        <f>VLOOKUP(B109,Sheet3!B:L,11,0)</f>
        <v>2631238621</v>
      </c>
      <c r="M109" s="32">
        <f>vlookup(B109,'data staffinc_3'!B:I,7,0)</f>
        <v>46000</v>
      </c>
      <c r="N109" s="26">
        <v>46266.0</v>
      </c>
      <c r="O109" s="32">
        <f>vlookup(B109,'data staffinc_3'!B:I,8,0)</f>
        <v>46265</v>
      </c>
      <c r="P109" s="23" t="str">
        <f>VLOOKUP(A109,Sheet2!A:F,6,0)</f>
        <v>SURABAYA</v>
      </c>
      <c r="Q109" s="24" t="s">
        <v>501</v>
      </c>
      <c r="R109" s="27" t="s">
        <v>505</v>
      </c>
      <c r="S109" s="28">
        <v>2990000.0</v>
      </c>
      <c r="T109" s="29">
        <v>2093000.0</v>
      </c>
      <c r="U109" s="30">
        <v>897000.0</v>
      </c>
      <c r="V109" s="23"/>
      <c r="W109" s="31">
        <v>2989145.0</v>
      </c>
      <c r="X109" s="31">
        <v>0.0</v>
      </c>
      <c r="Y109" s="31">
        <f t="shared" si="10"/>
        <v>2989145</v>
      </c>
    </row>
    <row r="110" ht="22.5" customHeight="1">
      <c r="A110" s="19" t="s">
        <v>1134</v>
      </c>
      <c r="B110" s="20" t="s">
        <v>238</v>
      </c>
      <c r="C110" s="21" t="str">
        <f>vlookup(B110,Sheet3!B:C,2,0)</f>
        <v>Jl Jeruk Purut No 15 RT.007 RW.003, Kelurahan Cilandak Timur, Kecamatan Pasar Minggu, Jakarta Selatan, 12560</v>
      </c>
      <c r="D110" s="22">
        <f>vlookup(B110,Sheet3!B:D,3,0)</f>
        <v>36550</v>
      </c>
      <c r="E110" s="20" t="str">
        <f>vlookup(B110,Sheet3!B:F,5,0)</f>
        <v>Jakarta</v>
      </c>
      <c r="F110" s="20" t="str">
        <f>vlookup(B110,Sheet3!B:H,7,0)</f>
        <v>SLTA</v>
      </c>
      <c r="G110" s="23" t="str">
        <f>vlookup(B110,Sheet3!B:I,8,0)</f>
        <v>085693115913</v>
      </c>
      <c r="H110" s="23" t="str">
        <f>vlookup(B110,Sheet3!B:J,9,0)</f>
        <v>tendyabas@gmail.com</v>
      </c>
      <c r="I110" s="24" t="s">
        <v>1414</v>
      </c>
      <c r="J110" s="23" t="str">
        <f>vlookup(B110,Sheet2!B:D,3,0)</f>
        <v>HARTONO PONDOK INDAH</v>
      </c>
      <c r="K110" s="23" t="str">
        <f>vlookup(A110,Sheet2!A:E,5,0)</f>
        <v>JAKARTA</v>
      </c>
      <c r="L110" s="25">
        <f>VLOOKUP(B110,Sheet3!B:L,11,0)</f>
        <v>2860229580</v>
      </c>
      <c r="M110" s="32">
        <v>46085.0</v>
      </c>
      <c r="N110" s="26">
        <v>46266.0</v>
      </c>
      <c r="O110" s="32">
        <v>46265.0</v>
      </c>
      <c r="P110" s="23" t="str">
        <f>VLOOKUP(A110,Sheet2!A:F,6,0)</f>
        <v>JAKARTA</v>
      </c>
      <c r="Q110" s="24" t="s">
        <v>501</v>
      </c>
      <c r="R110" s="27" t="s">
        <v>632</v>
      </c>
      <c r="S110" s="28">
        <v>5730000.0</v>
      </c>
      <c r="T110" s="29">
        <v>5730000.0</v>
      </c>
      <c r="U110" s="33"/>
      <c r="V110" s="23"/>
      <c r="W110" s="31">
        <v>5729876.0</v>
      </c>
      <c r="X110" s="31">
        <v>0.0</v>
      </c>
      <c r="Y110" s="31">
        <f t="shared" si="10"/>
        <v>5729876</v>
      </c>
    </row>
    <row r="111" ht="22.5" customHeight="1">
      <c r="A111" s="19" t="s">
        <v>1137</v>
      </c>
      <c r="B111" s="20" t="s">
        <v>1138</v>
      </c>
      <c r="C111" s="21" t="str">
        <f>vlookup(B111,Sheet3!B:C,2,0)</f>
        <v>Sokaraja kulon RT 02 RW 07</v>
      </c>
      <c r="D111" s="22">
        <f>vlookup(B111,Sheet3!B:D,3,0)</f>
        <v>35754</v>
      </c>
      <c r="E111" s="20" t="str">
        <f>vlookup(B111,Sheet3!B:F,5,0)</f>
        <v>Banyumas </v>
      </c>
      <c r="F111" s="20" t="str">
        <f>vlookup(B111,Sheet3!B:H,7,0)</f>
        <v>SLTA</v>
      </c>
      <c r="G111" s="23" t="str">
        <f>vlookup(B111,Sheet3!B:I,8,0)</f>
        <v>085726532701</v>
      </c>
      <c r="H111" s="23" t="str">
        <f>vlookup(B111,Sheet3!B:J,9,0)</f>
        <v>umayahmirani85@gmail.com</v>
      </c>
      <c r="I111" s="24" t="s">
        <v>455</v>
      </c>
      <c r="J111" s="23" t="str">
        <f>vlookup(B111,Sheet2!B:D,3,0)</f>
        <v>HERO HOUSEWARE PURWOKERTO</v>
      </c>
      <c r="K111" s="23" t="str">
        <f>vlookup(A111,Sheet2!A:E,5,0)</f>
        <v>BANYUMAS</v>
      </c>
      <c r="L111" s="25">
        <f>VLOOKUP(B111,Sheet3!B:L,11,0)</f>
        <v>1801135019</v>
      </c>
      <c r="M111" s="32">
        <v>45940.0</v>
      </c>
      <c r="N111" s="26">
        <v>46266.0</v>
      </c>
      <c r="O111" s="32">
        <v>46265.0</v>
      </c>
      <c r="P111" s="23" t="str">
        <f>VLOOKUP(A111,Sheet2!A:F,6,0)</f>
        <v>SEMARANG</v>
      </c>
      <c r="Q111" s="24" t="s">
        <v>501</v>
      </c>
      <c r="R111" s="27" t="s">
        <v>505</v>
      </c>
      <c r="S111" s="28">
        <v>2475000.0</v>
      </c>
      <c r="T111" s="29">
        <v>1732500.0</v>
      </c>
      <c r="U111" s="30">
        <v>742500.0</v>
      </c>
      <c r="V111" s="23"/>
      <c r="W111" s="31">
        <v>2474598.0</v>
      </c>
      <c r="X111" s="31">
        <v>0.0</v>
      </c>
      <c r="Y111" s="31">
        <f t="shared" si="10"/>
        <v>2474598</v>
      </c>
    </row>
    <row r="112" ht="22.5" customHeight="1">
      <c r="A112" s="19" t="s">
        <v>1140</v>
      </c>
      <c r="B112" s="20" t="s">
        <v>281</v>
      </c>
      <c r="C112" s="21" t="str">
        <f>vlookup(B112,Sheet3!B:C,2,0)</f>
        <v>BTN Griya Ning Citra Lestari Blok A No 5</v>
      </c>
      <c r="D112" s="22">
        <f>vlookup(B112,Sheet3!B:D,3,0)</f>
        <v>38010</v>
      </c>
      <c r="E112" s="20" t="str">
        <f>vlookup(B112,Sheet3!B:F,5,0)</f>
        <v>Makassar</v>
      </c>
      <c r="F112" s="20" t="str">
        <f>vlookup(B112,Sheet3!B:H,7,0)</f>
        <v>SLTA</v>
      </c>
      <c r="G112" s="23" t="str">
        <f>vlookup(B112,Sheet3!B:I,8,0)</f>
        <v>089513420390</v>
      </c>
      <c r="H112" s="23" t="str">
        <f>vlookup(B112,Sheet3!B:J,9,0)</f>
        <v>uunyanuarti2425@gmail.com</v>
      </c>
      <c r="I112" s="24" t="s">
        <v>455</v>
      </c>
      <c r="J112" s="23" t="str">
        <f>vlookup(B112,Sheet2!B:D,3,0)</f>
        <v>TOKO IWATA</v>
      </c>
      <c r="K112" s="23" t="str">
        <f>vlookup(A112,Sheet2!A:E,5,0)</f>
        <v>MAKASSAR</v>
      </c>
      <c r="L112" s="25">
        <f>VLOOKUP(B112,Sheet3!B:L,11,0)</f>
        <v>7327362737</v>
      </c>
      <c r="M112" s="32">
        <v>46242.0</v>
      </c>
      <c r="N112" s="26">
        <v>46266.0</v>
      </c>
      <c r="O112" s="32">
        <v>46265.0</v>
      </c>
      <c r="P112" s="23" t="str">
        <f>VLOOKUP(A112,Sheet2!A:F,6,0)</f>
        <v>MAKASSAR</v>
      </c>
      <c r="Q112" s="24" t="s">
        <v>501</v>
      </c>
      <c r="R112" s="27" t="s">
        <v>505</v>
      </c>
      <c r="S112" s="28">
        <v>4149000.0</v>
      </c>
      <c r="T112" s="29">
        <v>2904300.0</v>
      </c>
      <c r="U112" s="30">
        <v>1244700.0</v>
      </c>
      <c r="V112" s="23"/>
      <c r="W112" s="31">
        <v>4148179.0</v>
      </c>
      <c r="X112" s="31">
        <v>0.0</v>
      </c>
      <c r="Y112" s="31">
        <f t="shared" si="10"/>
        <v>4148179</v>
      </c>
    </row>
    <row r="113" ht="22.5" customHeight="1">
      <c r="A113" s="19" t="s">
        <v>1144</v>
      </c>
      <c r="B113" s="20" t="s">
        <v>393</v>
      </c>
      <c r="C113" s="21" t="str">
        <f>vlookup(B113,Sheet3!B:C,2,0)</f>
        <v>Karangputih , Tlogo, Prambanan,klaten</v>
      </c>
      <c r="D113" s="22">
        <f>vlookup(B113,Sheet3!B:D,3,0)</f>
        <v>32855</v>
      </c>
      <c r="E113" s="20" t="str">
        <f>vlookup(B113,Sheet3!B:F,5,0)</f>
        <v>Sleman</v>
      </c>
      <c r="F113" s="20" t="str">
        <f>vlookup(B113,Sheet3!B:H,7,0)</f>
        <v>SLTA</v>
      </c>
      <c r="G113" s="23" t="str">
        <f>vlookup(B113,Sheet3!B:I,8,0)</f>
        <v>089678004600</v>
      </c>
      <c r="H113" s="23" t="str">
        <f>vlookup(B113,Sheet3!B:J,9,0)</f>
        <v>Veavernando2@gmail.com</v>
      </c>
      <c r="I113" s="24" t="s">
        <v>455</v>
      </c>
      <c r="J113" s="23" t="str">
        <f>vlookup(B113,Sheet2!B:D,3,0)</f>
        <v>PROGO JOGJA</v>
      </c>
      <c r="K113" s="23" t="str">
        <f>vlookup(A113,Sheet2!A:E,5,0)</f>
        <v>YOGYAKARTA</v>
      </c>
      <c r="L113" s="25">
        <f>VLOOKUP(B113,Sheet3!B:L,11,0)</f>
        <v>6975025415</v>
      </c>
      <c r="M113" s="32">
        <v>45673.0</v>
      </c>
      <c r="N113" s="26">
        <v>46266.0</v>
      </c>
      <c r="O113" s="32">
        <v>46265.0</v>
      </c>
      <c r="P113" s="23" t="str">
        <f>VLOOKUP(A113,Sheet2!A:F,6,0)</f>
        <v>SEMARANG</v>
      </c>
      <c r="Q113" s="24" t="s">
        <v>501</v>
      </c>
      <c r="R113" s="27" t="s">
        <v>505</v>
      </c>
      <c r="S113" s="28">
        <v>2828000.0</v>
      </c>
      <c r="T113" s="29">
        <v>1979600.0</v>
      </c>
      <c r="U113" s="30">
        <v>848400.0</v>
      </c>
      <c r="V113" s="23"/>
      <c r="W113" s="31">
        <v>2827593.0</v>
      </c>
      <c r="X113" s="31">
        <v>0.0</v>
      </c>
      <c r="Y113" s="31">
        <f t="shared" si="10"/>
        <v>2827593</v>
      </c>
    </row>
    <row r="114" ht="22.5" customHeight="1">
      <c r="A114" s="19" t="s">
        <v>1148</v>
      </c>
      <c r="B114" s="20" t="s">
        <v>199</v>
      </c>
      <c r="C114" s="21" t="str">
        <f>vlookup(B114,Sheet3!B:C,2,0)</f>
        <v>Desa megu cilik, blok galgadung, rt 002/rw 003,kecamatan weru, kabupaten cirebon</v>
      </c>
      <c r="D114" s="22">
        <f>vlookup(B114,Sheet3!B:D,3,0)</f>
        <v>37304</v>
      </c>
      <c r="E114" s="20" t="str">
        <f>vlookup(B114,Sheet3!B:F,5,0)</f>
        <v>Cirebon</v>
      </c>
      <c r="F114" s="20" t="str">
        <f>vlookup(B114,Sheet3!B:H,7,0)</f>
        <v>SLTA</v>
      </c>
      <c r="G114" s="23" t="str">
        <f>vlookup(B114,Sheet3!B:I,8,0)</f>
        <v>081915461459</v>
      </c>
      <c r="H114" s="23" t="str">
        <f>vlookup(B114,Sheet3!B:J,9,0)</f>
        <v>tinialidrisiyyah@gmail.com</v>
      </c>
      <c r="I114" s="24" t="s">
        <v>455</v>
      </c>
      <c r="J114" s="23" t="str">
        <f>vlookup(B114,Sheet2!B:D,3,0)</f>
        <v>SINAR JAYA</v>
      </c>
      <c r="K114" s="23" t="str">
        <f>vlookup(A114,Sheet2!A:E,5,0)</f>
        <v>CIREBON</v>
      </c>
      <c r="L114" s="25">
        <f>VLOOKUP(B114,Sheet3!B:L,11,0)</f>
        <v>7746551729</v>
      </c>
      <c r="M114" s="32">
        <v>46027.0</v>
      </c>
      <c r="N114" s="26">
        <v>46266.0</v>
      </c>
      <c r="O114" s="32">
        <v>46265.0</v>
      </c>
      <c r="P114" s="23" t="str">
        <f>VLOOKUP(A114,Sheet2!A:F,6,0)</f>
        <v>BANDUNG</v>
      </c>
      <c r="Q114" s="24" t="s">
        <v>501</v>
      </c>
      <c r="R114" s="27" t="s">
        <v>505</v>
      </c>
      <c r="S114" s="28">
        <v>2881000.0</v>
      </c>
      <c r="T114" s="29">
        <v>2016700.0</v>
      </c>
      <c r="U114" s="30">
        <v>864300.0</v>
      </c>
      <c r="V114" s="23"/>
      <c r="W114" s="31">
        <v>2880798.0</v>
      </c>
      <c r="X114" s="31">
        <v>0.0</v>
      </c>
      <c r="Y114" s="31">
        <f t="shared" si="10"/>
        <v>2880798</v>
      </c>
    </row>
    <row r="115" ht="22.5" customHeight="1">
      <c r="A115" s="19" t="s">
        <v>1152</v>
      </c>
      <c r="B115" s="20" t="s">
        <v>123</v>
      </c>
      <c r="C115" s="21" t="str">
        <f>vlookup(B115,Sheet3!B:C,2,0)</f>
        <v>Jl.sejahtera Kel.watervang Lubuklinggau timur 1 kota lubuk linggau </v>
      </c>
      <c r="D115" s="22">
        <f>vlookup(B115,Sheet3!B:D,3,0)</f>
        <v>34959</v>
      </c>
      <c r="E115" s="20" t="str">
        <f>vlookup(B115,Sheet3!B:F,5,0)</f>
        <v>Lubuk linggau</v>
      </c>
      <c r="F115" s="20" t="str">
        <f>vlookup(B115,Sheet3!B:H,7,0)</f>
        <v>SLTA</v>
      </c>
      <c r="G115" s="23" t="str">
        <f>vlookup(B115,Sheet3!B:I,8,0)</f>
        <v>0895603182217</v>
      </c>
      <c r="H115" s="23" t="str">
        <f>vlookup(B115,Sheet3!B:J,9,0)</f>
        <v>Wwid956@gmail.com</v>
      </c>
      <c r="I115" s="24" t="s">
        <v>455</v>
      </c>
      <c r="J115" s="23" t="str">
        <f>vlookup(B115,Sheet2!B:D,3,0)</f>
        <v>ANUGERAH SUKSES</v>
      </c>
      <c r="K115" s="23" t="str">
        <f>vlookup(A115,Sheet2!A:E,5,0)</f>
        <v>LUBUKLINGGAU</v>
      </c>
      <c r="L115" s="25">
        <f>VLOOKUP(B115,Sheet3!B:L,11,0)</f>
        <v>6245038783</v>
      </c>
      <c r="M115" s="32">
        <v>45769.0</v>
      </c>
      <c r="N115" s="26">
        <v>46266.0</v>
      </c>
      <c r="O115" s="32">
        <v>46265.0</v>
      </c>
      <c r="P115" s="23" t="str">
        <f>VLOOKUP(A115,Sheet2!A:F,6,0)</f>
        <v>PALEMBANG</v>
      </c>
      <c r="Q115" s="24" t="s">
        <v>501</v>
      </c>
      <c r="R115" s="27" t="s">
        <v>505</v>
      </c>
      <c r="S115" s="28">
        <v>4193000.0</v>
      </c>
      <c r="T115" s="29">
        <v>2935100.0</v>
      </c>
      <c r="U115" s="30">
        <v>1257900.0</v>
      </c>
      <c r="V115" s="23"/>
      <c r="W115" s="31">
        <v>3942963.0</v>
      </c>
      <c r="X115" s="31">
        <v>0.0</v>
      </c>
      <c r="Y115" s="31">
        <f t="shared" si="10"/>
        <v>3942963</v>
      </c>
    </row>
    <row r="116" ht="22.5" customHeight="1">
      <c r="A116" s="19" t="s">
        <v>1155</v>
      </c>
      <c r="B116" s="20" t="s">
        <v>121</v>
      </c>
      <c r="C116" s="21" t="str">
        <f>vlookup(B116,Sheet3!B:C,2,0)</f>
        <v>DUSUN X WIJAYA KESUMA</v>
      </c>
      <c r="D116" s="22">
        <f>vlookup(B116,Sheet3!B:D,3,0)</f>
        <v>36223</v>
      </c>
      <c r="E116" s="20" t="str">
        <f>vlookup(B116,Sheet3!B:F,5,0)</f>
        <v>MEDAN</v>
      </c>
      <c r="F116" s="20" t="str">
        <f>vlookup(B116,Sheet3!B:H,7,0)</f>
        <v>SLTA</v>
      </c>
      <c r="G116" s="23" t="str">
        <f>vlookup(B116,Sheet3!B:I,8,0)</f>
        <v>082370385229</v>
      </c>
      <c r="H116" s="23" t="str">
        <f>vlookup(B116,Sheet3!B:J,9,0)</f>
        <v>wkesuma809@gmail.com</v>
      </c>
      <c r="I116" s="24" t="s">
        <v>455</v>
      </c>
      <c r="J116" s="23" t="str">
        <f>vlookup(B116,Sheet2!B:D,3,0)</f>
        <v>BALIKADO MENTENG</v>
      </c>
      <c r="K116" s="23" t="str">
        <f>vlookup(A116,Sheet2!A:E,5,0)</f>
        <v>MEDAN</v>
      </c>
      <c r="L116" s="25">
        <f>VLOOKUP(B116,Sheet3!B:L,11,0)</f>
        <v>5585001675</v>
      </c>
      <c r="M116" s="32">
        <v>45741.0</v>
      </c>
      <c r="N116" s="26">
        <v>46266.0</v>
      </c>
      <c r="O116" s="32">
        <v>46265.0</v>
      </c>
      <c r="P116" s="23" t="str">
        <f>VLOOKUP(A116,Sheet2!A:F,6,0)</f>
        <v>MEDAN</v>
      </c>
      <c r="Q116" s="24" t="s">
        <v>501</v>
      </c>
      <c r="R116" s="27" t="s">
        <v>505</v>
      </c>
      <c r="S116" s="28">
        <v>4336000.0</v>
      </c>
      <c r="T116" s="29">
        <v>3035200.0</v>
      </c>
      <c r="U116" s="30">
        <v>1300800.0</v>
      </c>
      <c r="V116" s="23"/>
      <c r="W116" s="31">
        <v>4335198.0</v>
      </c>
      <c r="X116" s="31">
        <v>0.0</v>
      </c>
      <c r="Y116" s="31">
        <f t="shared" si="10"/>
        <v>4335198</v>
      </c>
    </row>
    <row r="117" ht="22.5" customHeight="1">
      <c r="A117" s="19" t="s">
        <v>1157</v>
      </c>
      <c r="B117" s="20" t="s">
        <v>132</v>
      </c>
      <c r="C117" s="21" t="str">
        <f>vlookup(B117,Sheet3!B:C,2,0)</f>
        <v>Jl. Banten GG. Hidayah IV No 46</v>
      </c>
      <c r="D117" s="22">
        <f>vlookup(B117,Sheet3!B:D,3,0)</f>
        <v>37277</v>
      </c>
      <c r="E117" s="20" t="str">
        <f>vlookup(B117,Sheet3!B:F,5,0)</f>
        <v>Bandar Lampung </v>
      </c>
      <c r="F117" s="20" t="str">
        <f>vlookup(B117,Sheet3!B:H,7,0)</f>
        <v>SLTA</v>
      </c>
      <c r="G117" s="23" t="str">
        <f>vlookup(B117,Sheet3!B:I,8,0)</f>
        <v>089615384948</v>
      </c>
      <c r="H117" s="23" t="str">
        <f>vlookup(B117,Sheet3!B:J,9,0)</f>
        <v>windamardiana816@gmail.com</v>
      </c>
      <c r="I117" s="24" t="s">
        <v>455</v>
      </c>
      <c r="J117" s="23" t="str">
        <f>vlookup(B117,Sheet2!B:D,3,0)</f>
        <v>UNIVERSAL PASIR PUTIH</v>
      </c>
      <c r="K117" s="23" t="str">
        <f>vlookup(A117,Sheet2!A:E,5,0)</f>
        <v>BATAM</v>
      </c>
      <c r="L117" s="25">
        <f>VLOOKUP(B117,Sheet3!B:L,11,0)</f>
        <v>4300673746</v>
      </c>
      <c r="M117" s="32">
        <v>45796.0</v>
      </c>
      <c r="N117" s="26">
        <v>46266.0</v>
      </c>
      <c r="O117" s="32">
        <v>46265.0</v>
      </c>
      <c r="P117" s="23" t="str">
        <f>VLOOKUP(A117,Sheet2!A:F,6,0)</f>
        <v>MEDAN</v>
      </c>
      <c r="Q117" s="24" t="s">
        <v>501</v>
      </c>
      <c r="R117" s="27" t="s">
        <v>505</v>
      </c>
      <c r="S117" s="28">
        <v>5358000.0</v>
      </c>
      <c r="T117" s="29">
        <v>3750600.0</v>
      </c>
      <c r="U117" s="30">
        <v>1607400.0</v>
      </c>
      <c r="V117" s="23"/>
      <c r="W117" s="31">
        <v>5357982.0</v>
      </c>
      <c r="X117" s="31">
        <v>0.0</v>
      </c>
      <c r="Y117" s="31">
        <f t="shared" si="10"/>
        <v>5357982</v>
      </c>
    </row>
    <row r="118" ht="22.5" customHeight="1">
      <c r="A118" s="19" t="s">
        <v>1161</v>
      </c>
      <c r="B118" s="20" t="s">
        <v>1163</v>
      </c>
      <c r="C118" s="21" t="str">
        <f>vlookup(B118,Sheet3!B:C,2,0)</f>
        <v>Cilongok Rt008/002 Desa Cilongok </v>
      </c>
      <c r="D118" s="22">
        <f>vlookup(B118,Sheet3!B:D,3,0)</f>
        <v>38332</v>
      </c>
      <c r="E118" s="20" t="str">
        <f>vlookup(B118,Sheet3!B:F,5,0)</f>
        <v>Banyumas</v>
      </c>
      <c r="F118" s="20" t="str">
        <f>vlookup(B118,Sheet3!B:H,7,0)</f>
        <v>SLTA</v>
      </c>
      <c r="G118" s="23" t="str">
        <f>vlookup(B118,Sheet3!B:I,8,0)</f>
        <v>085846957871</v>
      </c>
      <c r="H118" s="23" t="str">
        <f>vlookup(B118,Sheet3!B:J,9,0)</f>
        <v>wiwitpuja11@gmail.com</v>
      </c>
      <c r="I118" s="24" t="s">
        <v>455</v>
      </c>
      <c r="J118" s="23" t="str">
        <f>vlookup(B118,Sheet2!B:D,3,0)</f>
        <v>YOGYA RIAU JUNCTION</v>
      </c>
      <c r="K118" s="23" t="str">
        <f>vlookup(A118,Sheet2!A:E,5,0)</f>
        <v>BANDUNG</v>
      </c>
      <c r="L118" s="25">
        <f>VLOOKUP(B118,Sheet3!B:L,11,0)</f>
        <v>1570640999</v>
      </c>
      <c r="M118" s="32"/>
      <c r="N118" s="32"/>
      <c r="O118" s="32"/>
      <c r="P118" s="23" t="str">
        <f>VLOOKUP(A118,Sheet2!A:F,6,0)</f>
        <v>BANDUNG</v>
      </c>
      <c r="Q118" s="24" t="s">
        <v>501</v>
      </c>
      <c r="R118" s="27" t="s">
        <v>505</v>
      </c>
      <c r="S118" s="28">
        <v>4738000.0</v>
      </c>
      <c r="T118" s="29">
        <v>3316600.0</v>
      </c>
      <c r="U118" s="30">
        <v>1421400.0</v>
      </c>
      <c r="V118" s="23"/>
      <c r="W118" s="31"/>
      <c r="X118" s="31"/>
      <c r="Y118" s="65"/>
    </row>
    <row r="119" ht="22.5" customHeight="1">
      <c r="A119" s="19" t="s">
        <v>1166</v>
      </c>
      <c r="B119" s="20" t="s">
        <v>118</v>
      </c>
      <c r="C119" s="21" t="str">
        <f>vlookup(B119,Sheet3!B:C,2,0)</f>
        <v>Dusun Rukem Rt/Rw 001/005 Kelurahan Pamutih desa pamutih, kecamatan ulujami ,kabupaten Pemalang Jawa Tengah</v>
      </c>
      <c r="D119" s="22">
        <f>vlookup(B119,Sheet3!B:D,3,0)</f>
        <v>33392</v>
      </c>
      <c r="E119" s="20" t="str">
        <f>vlookup(B119,Sheet3!B:F,5,0)</f>
        <v>jakarta</v>
      </c>
      <c r="F119" s="20" t="str">
        <f>vlookup(B119,Sheet3!B:H,7,0)</f>
        <v>SLTA</v>
      </c>
      <c r="G119" s="23" t="str">
        <f>vlookup(B119,Sheet3!B:I,8,0)</f>
        <v>085179986982</v>
      </c>
      <c r="H119" s="23" t="str">
        <f>vlookup(B119,Sheet3!B:J,9,0)</f>
        <v>yahyaharita2017@gmail.com</v>
      </c>
      <c r="I119" s="24" t="s">
        <v>455</v>
      </c>
      <c r="J119" s="23" t="str">
        <f>vlookup(B119,Sheet2!B:D,3,0)</f>
        <v>JAWA ELEKTRONIK</v>
      </c>
      <c r="K119" s="23" t="str">
        <f>vlookup(A119,Sheet2!A:E,5,0)</f>
        <v>JAKARTA</v>
      </c>
      <c r="L119" s="25">
        <f>VLOOKUP(B119,Sheet3!B:L,11,0)</f>
        <v>1080388914</v>
      </c>
      <c r="M119" s="32">
        <v>45712.0</v>
      </c>
      <c r="N119" s="26">
        <v>46266.0</v>
      </c>
      <c r="O119" s="32">
        <v>46265.0</v>
      </c>
      <c r="P119" s="23" t="str">
        <f>VLOOKUP(A119,Sheet2!A:F,6,0)</f>
        <v>JAKARTA</v>
      </c>
      <c r="Q119" s="24" t="s">
        <v>501</v>
      </c>
      <c r="R119" s="27" t="s">
        <v>505</v>
      </c>
      <c r="S119" s="28">
        <v>5730000.0</v>
      </c>
      <c r="T119" s="29">
        <v>4011000.0</v>
      </c>
      <c r="U119" s="30">
        <v>1719000.0</v>
      </c>
      <c r="V119" s="23"/>
      <c r="W119" s="31">
        <v>5729876.0</v>
      </c>
      <c r="X119" s="31">
        <v>0.0</v>
      </c>
      <c r="Y119" s="31">
        <f t="shared" ref="Y119:Y125" si="11">W119+X119</f>
        <v>5729876</v>
      </c>
    </row>
    <row r="120" ht="22.5" customHeight="1">
      <c r="A120" s="19" t="s">
        <v>1169</v>
      </c>
      <c r="B120" s="20" t="s">
        <v>335</v>
      </c>
      <c r="C120" s="21" t="str">
        <f>vlookup(B120,Sheet3!B:C,2,0)</f>
        <v>Jln air terjun</v>
      </c>
      <c r="D120" s="22">
        <f>vlookup(B120,Sheet3!B:D,3,0)</f>
        <v>35084</v>
      </c>
      <c r="E120" s="20" t="str">
        <f>vlookup(B120,Sheet3!B:F,5,0)</f>
        <v>Donggala</v>
      </c>
      <c r="F120" s="20" t="str">
        <f>vlookup(B120,Sheet3!B:H,7,0)</f>
        <v>SLTA</v>
      </c>
      <c r="G120" s="23" t="str">
        <f>vlookup(B120,Sheet3!B:I,8,0)</f>
        <v>081244995896</v>
      </c>
      <c r="H120" s="23" t="str">
        <f>vlookup(B120,Sheet3!B:J,9,0)</f>
        <v>Yheniigladiezz86@gmail.com</v>
      </c>
      <c r="I120" s="24" t="s">
        <v>455</v>
      </c>
      <c r="J120" s="23" t="str">
        <f>vlookup(B120,Sheet2!B:D,3,0)</f>
        <v>TIARA PALU</v>
      </c>
      <c r="K120" s="23" t="str">
        <f>vlookup(A120,Sheet2!A:E,5,0)</f>
        <v>PALU</v>
      </c>
      <c r="L120" s="25">
        <f>VLOOKUP(B120,Sheet3!B:L,11,0)</f>
        <v>7920956461</v>
      </c>
      <c r="M120" s="32">
        <v>45855.0</v>
      </c>
      <c r="N120" s="26">
        <v>46266.0</v>
      </c>
      <c r="O120" s="32">
        <v>46265.0</v>
      </c>
      <c r="P120" s="23" t="str">
        <f>VLOOKUP(A120,Sheet2!A:F,6,0)</f>
        <v>MAKASSAR</v>
      </c>
      <c r="Q120" s="24" t="s">
        <v>501</v>
      </c>
      <c r="R120" s="27" t="s">
        <v>505</v>
      </c>
      <c r="S120" s="28">
        <v>4149000.0</v>
      </c>
      <c r="T120" s="29">
        <v>2904300.0</v>
      </c>
      <c r="U120" s="30">
        <v>1244700.0</v>
      </c>
      <c r="V120" s="23"/>
      <c r="W120" s="31">
        <v>4148179.0</v>
      </c>
      <c r="X120" s="31">
        <v>0.0</v>
      </c>
      <c r="Y120" s="31">
        <f t="shared" si="11"/>
        <v>4148179</v>
      </c>
    </row>
    <row r="121" ht="22.5" customHeight="1">
      <c r="A121" s="19" t="s">
        <v>1172</v>
      </c>
      <c r="B121" s="20" t="s">
        <v>250</v>
      </c>
      <c r="C121" s="21" t="str">
        <f>vlookup(B121,Sheet3!B:C,2,0)</f>
        <v>Perumahan Taman Seruni Jl Nusa Indah No 48 ,Gamer</v>
      </c>
      <c r="D121" s="22">
        <f>vlookup(B121,Sheet3!B:D,3,0)</f>
        <v>39236</v>
      </c>
      <c r="E121" s="20" t="str">
        <f>vlookup(B121,Sheet3!B:F,5,0)</f>
        <v>Pekalongan </v>
      </c>
      <c r="F121" s="20" t="str">
        <f>vlookup(B121,Sheet3!B:H,7,0)</f>
        <v>SLTA</v>
      </c>
      <c r="G121" s="23" t="str">
        <f>vlookup(B121,Sheet3!B:I,8,0)</f>
        <v>081910263671</v>
      </c>
      <c r="H121" s="23" t="str">
        <f>vlookup(B121,Sheet3!B:J,9,0)</f>
        <v>yeremiaalexander03@gmail.com</v>
      </c>
      <c r="I121" s="24" t="s">
        <v>455</v>
      </c>
      <c r="J121" s="23" t="str">
        <f>vlookup(B121,Sheet2!B:D,3,0)</f>
        <v>BERKAH JAYA ELECTRONICS</v>
      </c>
      <c r="K121" s="23" t="str">
        <f>vlookup(A121,Sheet2!A:E,5,0)</f>
        <v>PEKALONGAN</v>
      </c>
      <c r="L121" s="25">
        <f>VLOOKUP(B121,Sheet3!B:L,11,0)</f>
        <v>3820378155</v>
      </c>
      <c r="M121" s="32">
        <v>46141.0</v>
      </c>
      <c r="N121" s="26">
        <v>46266.0</v>
      </c>
      <c r="O121" s="32">
        <v>46265.0</v>
      </c>
      <c r="P121" s="23" t="str">
        <f>VLOOKUP(A121,Sheet2!A:F,6,0)</f>
        <v>SEMARANG</v>
      </c>
      <c r="Q121" s="24" t="s">
        <v>501</v>
      </c>
      <c r="R121" s="27" t="s">
        <v>505</v>
      </c>
      <c r="S121" s="28">
        <v>2701000.0</v>
      </c>
      <c r="T121" s="29">
        <v>1890700.0</v>
      </c>
      <c r="U121" s="30">
        <v>810300.0</v>
      </c>
      <c r="V121" s="23"/>
      <c r="W121" s="31">
        <v>2700926.0</v>
      </c>
      <c r="X121" s="31">
        <v>0.0</v>
      </c>
      <c r="Y121" s="31">
        <f t="shared" si="11"/>
        <v>2700926</v>
      </c>
    </row>
    <row r="122" ht="22.5" customHeight="1">
      <c r="A122" s="19" t="s">
        <v>1175</v>
      </c>
      <c r="B122" s="20" t="s">
        <v>256</v>
      </c>
      <c r="C122" s="21" t="str">
        <f>vlookup(B122,Sheet3!B:C,2,0)</f>
        <v>JL. REJOSARI 002/003 (GANG MANGGA NO.4)</v>
      </c>
      <c r="D122" s="22">
        <f>vlookup(B122,Sheet3!B:D,3,0)</f>
        <v>37101</v>
      </c>
      <c r="E122" s="20" t="str">
        <f>vlookup(B122,Sheet3!B:F,5,0)</f>
        <v>SURABAYA</v>
      </c>
      <c r="F122" s="20" t="str">
        <f>vlookup(B122,Sheet3!B:H,7,0)</f>
        <v>SLTA</v>
      </c>
      <c r="G122" s="23" t="str">
        <f>vlookup(B122,Sheet3!B:I,8,0)</f>
        <v>0882010083362</v>
      </c>
      <c r="H122" s="23" t="str">
        <f>vlookup(B122,Sheet3!B:J,9,0)</f>
        <v>ysiswanti03@gmail.com</v>
      </c>
      <c r="I122" s="24" t="s">
        <v>600</v>
      </c>
      <c r="J122" s="23" t="str">
        <f>vlookup(B122,Sheet2!B:D,3,0)</f>
        <v>TUNJUNGAN PLAZA</v>
      </c>
      <c r="K122" s="23" t="str">
        <f>vlookup(A122,Sheet2!A:E,5,0)</f>
        <v>SURABAYA</v>
      </c>
      <c r="L122" s="25">
        <f>VLOOKUP(B122,Sheet3!B:L,11,0)</f>
        <v>5085075826</v>
      </c>
      <c r="M122" s="32">
        <v>45147.0</v>
      </c>
      <c r="N122" s="26">
        <v>46266.0</v>
      </c>
      <c r="O122" s="32">
        <v>46265.0</v>
      </c>
      <c r="P122" s="23" t="str">
        <f>VLOOKUP(A122,Sheet2!A:F,6,0)</f>
        <v>SURABAYA</v>
      </c>
      <c r="Q122" s="24" t="s">
        <v>501</v>
      </c>
      <c r="R122" s="27" t="s">
        <v>632</v>
      </c>
      <c r="S122" s="28">
        <v>5289000.0</v>
      </c>
      <c r="T122" s="29">
        <v>5289000.0</v>
      </c>
      <c r="U122" s="33"/>
      <c r="V122" s="23"/>
      <c r="W122" s="31">
        <v>5288796.0</v>
      </c>
      <c r="X122" s="31">
        <v>600000.0</v>
      </c>
      <c r="Y122" s="31">
        <f t="shared" si="11"/>
        <v>5888796</v>
      </c>
    </row>
    <row r="123" ht="22.5" customHeight="1">
      <c r="A123" s="19" t="s">
        <v>1176</v>
      </c>
      <c r="B123" s="20" t="s">
        <v>245</v>
      </c>
      <c r="C123" s="21" t="str">
        <f>vlookup(B123,Sheet3!B:C,2,0)</f>
        <v>Sayangan RT 01 RW 04, Butuh, Temanggung</v>
      </c>
      <c r="D123" s="22">
        <f>vlookup(B123,Sheet3!B:D,3,0)</f>
        <v>34851</v>
      </c>
      <c r="E123" s="20" t="str">
        <f>vlookup(B123,Sheet3!B:F,5,0)</f>
        <v>Temanggung</v>
      </c>
      <c r="F123" s="20" t="str">
        <f>vlookup(B123,Sheet3!B:H,7,0)</f>
        <v>SLTA</v>
      </c>
      <c r="G123" s="23" t="str">
        <f>vlookup(B123,Sheet3!B:I,8,0)</f>
        <v>085647144195</v>
      </c>
      <c r="H123" s="23" t="str">
        <f>vlookup(B123,Sheet3!B:J,9,0)</f>
        <v>yunita.anggraeni64@gmail.com</v>
      </c>
      <c r="I123" s="24" t="s">
        <v>455</v>
      </c>
      <c r="J123" s="23" t="str">
        <f>vlookup(B123,Sheet2!B:D,3,0)</f>
        <v>SURYA TIMUR</v>
      </c>
      <c r="K123" s="23" t="str">
        <f>vlookup(A123,Sheet2!A:E,5,0)</f>
        <v>SEMARANG</v>
      </c>
      <c r="L123" s="25"/>
      <c r="M123" s="32">
        <v>46141.0</v>
      </c>
      <c r="N123" s="26">
        <v>46266.0</v>
      </c>
      <c r="O123" s="32">
        <v>46265.0</v>
      </c>
      <c r="P123" s="23" t="str">
        <f>VLOOKUP(A123,Sheet2!A:F,6,0)</f>
        <v>SEMARANG</v>
      </c>
      <c r="Q123" s="24" t="s">
        <v>501</v>
      </c>
      <c r="R123" s="27" t="s">
        <v>505</v>
      </c>
      <c r="S123" s="28">
        <v>3702000.0</v>
      </c>
      <c r="T123" s="29">
        <v>2591400.0</v>
      </c>
      <c r="U123" s="30">
        <v>1110600.0</v>
      </c>
      <c r="V123" s="23"/>
      <c r="W123" s="31">
        <v>2397000.0</v>
      </c>
      <c r="X123" s="31">
        <v>0.0</v>
      </c>
      <c r="Y123" s="31">
        <f t="shared" si="11"/>
        <v>2397000</v>
      </c>
    </row>
    <row r="124" ht="22.5" customHeight="1">
      <c r="A124" s="19" t="s">
        <v>1178</v>
      </c>
      <c r="B124" s="20" t="s">
        <v>358</v>
      </c>
      <c r="C124" s="21" t="str">
        <f>vlookup(B124,Sheet3!B:C,2,0)</f>
        <v>BTN JENEMADINGING BLOK A 2</v>
      </c>
      <c r="D124" s="22">
        <f>vlookup(B124,Sheet3!B:D,3,0)</f>
        <v>35874</v>
      </c>
      <c r="E124" s="20" t="str">
        <f>vlookup(B124,Sheet3!B:F,5,0)</f>
        <v>Ujung pandang </v>
      </c>
      <c r="F124" s="20" t="str">
        <f>vlookup(B124,Sheet3!B:H,7,0)</f>
        <v>SLTA</v>
      </c>
      <c r="G124" s="23" t="str">
        <f>vlookup(B124,Sheet3!B:I,8,0)</f>
        <v>088245137660</v>
      </c>
      <c r="H124" s="23" t="str">
        <f>vlookup(B124,Sheet3!B:J,9,0)</f>
        <v>yustikatika50@gmail.com</v>
      </c>
      <c r="I124" s="24" t="s">
        <v>455</v>
      </c>
      <c r="J124" s="23" t="str">
        <f>vlookup(B124,Sheet2!B:D,3,0)</f>
        <v>MAXI ALAUDDIN</v>
      </c>
      <c r="K124" s="23" t="str">
        <f>vlookup(A124,Sheet2!A:E,5,0)</f>
        <v>MAKASSAR</v>
      </c>
      <c r="L124" s="25">
        <f>VLOOKUP(B124,Sheet3!B:L,11,0)</f>
        <v>7991303573</v>
      </c>
      <c r="M124" s="32">
        <v>45566.0</v>
      </c>
      <c r="N124" s="26">
        <v>46266.0</v>
      </c>
      <c r="O124" s="32">
        <v>46265.0</v>
      </c>
      <c r="P124" s="23" t="str">
        <f>VLOOKUP(A124,Sheet2!A:F,6,0)</f>
        <v>MAKASSAR</v>
      </c>
      <c r="Q124" s="24" t="s">
        <v>501</v>
      </c>
      <c r="R124" s="27" t="s">
        <v>505</v>
      </c>
      <c r="S124" s="28">
        <v>4149000.0</v>
      </c>
      <c r="T124" s="29">
        <v>2904300.0</v>
      </c>
      <c r="U124" s="30">
        <v>1244700.0</v>
      </c>
      <c r="V124" s="23"/>
      <c r="W124" s="31">
        <v>4148179.0</v>
      </c>
      <c r="X124" s="31">
        <v>0.0</v>
      </c>
      <c r="Y124" s="31">
        <f t="shared" si="11"/>
        <v>4148179</v>
      </c>
    </row>
    <row r="125" ht="22.5" customHeight="1">
      <c r="A125" s="19" t="s">
        <v>1979</v>
      </c>
      <c r="B125" s="23" t="s">
        <v>372</v>
      </c>
      <c r="C125" s="93" t="s">
        <v>1726</v>
      </c>
      <c r="D125" s="22">
        <v>38370.0</v>
      </c>
      <c r="E125" s="23" t="s">
        <v>1727</v>
      </c>
      <c r="F125" s="23" t="s">
        <v>1324</v>
      </c>
      <c r="G125" s="94" t="s">
        <v>1728</v>
      </c>
      <c r="H125" s="23" t="s">
        <v>1729</v>
      </c>
      <c r="I125" s="24" t="s">
        <v>455</v>
      </c>
      <c r="J125" s="19" t="s">
        <v>1980</v>
      </c>
      <c r="K125" s="19" t="s">
        <v>115</v>
      </c>
      <c r="L125" s="23">
        <v>8.355379767E9</v>
      </c>
      <c r="M125" s="32">
        <v>45628.0</v>
      </c>
      <c r="N125" s="26">
        <v>46266.0</v>
      </c>
      <c r="O125" s="32">
        <v>46265.0</v>
      </c>
      <c r="P125" s="19" t="s">
        <v>115</v>
      </c>
      <c r="Q125" s="24" t="s">
        <v>501</v>
      </c>
      <c r="R125" s="27" t="s">
        <v>505</v>
      </c>
      <c r="S125" s="28">
        <v>3984000.0</v>
      </c>
      <c r="T125" s="29">
        <v>2788800.0</v>
      </c>
      <c r="U125" s="30">
        <v>1195200.0</v>
      </c>
      <c r="V125" s="19" t="s">
        <v>520</v>
      </c>
      <c r="W125" s="31">
        <v>3991797.0</v>
      </c>
      <c r="X125" s="31">
        <v>0.0</v>
      </c>
      <c r="Y125" s="31">
        <f t="shared" si="11"/>
        <v>3991797</v>
      </c>
    </row>
    <row r="126" ht="22.5" customHeight="1">
      <c r="A126" s="19" t="s">
        <v>1981</v>
      </c>
      <c r="B126" s="23" t="s">
        <v>1948</v>
      </c>
      <c r="C126" s="93" t="s">
        <v>1949</v>
      </c>
      <c r="D126" s="22">
        <v>38418.0</v>
      </c>
      <c r="E126" s="23" t="s">
        <v>1373</v>
      </c>
      <c r="F126" s="23" t="s">
        <v>1324</v>
      </c>
      <c r="G126" s="94" t="s">
        <v>1950</v>
      </c>
      <c r="H126" s="23" t="s">
        <v>1951</v>
      </c>
      <c r="I126" s="24" t="s">
        <v>455</v>
      </c>
      <c r="J126" s="19" t="s">
        <v>1130</v>
      </c>
      <c r="K126" s="19" t="s">
        <v>1132</v>
      </c>
      <c r="L126" s="23">
        <v>2.631082264E9</v>
      </c>
      <c r="M126" s="26">
        <v>46290.0</v>
      </c>
      <c r="N126" s="26">
        <v>46291.0</v>
      </c>
      <c r="O126" s="26">
        <v>46290.0</v>
      </c>
      <c r="P126" s="19" t="s">
        <v>126</v>
      </c>
      <c r="Q126" s="24" t="s">
        <v>501</v>
      </c>
      <c r="R126" s="27" t="s">
        <v>505</v>
      </c>
      <c r="S126" s="28">
        <v>2990000.0</v>
      </c>
      <c r="T126" s="29">
        <v>2093000.0</v>
      </c>
      <c r="U126" s="30">
        <v>897000.0</v>
      </c>
      <c r="V126" s="19" t="s">
        <v>1982</v>
      </c>
      <c r="W126" s="31"/>
      <c r="X126" s="31"/>
      <c r="Y126" s="65"/>
    </row>
    <row r="127" ht="22.5" customHeight="1">
      <c r="A127" s="19" t="s">
        <v>1983</v>
      </c>
      <c r="B127" s="23" t="s">
        <v>1953</v>
      </c>
      <c r="C127" s="93" t="s">
        <v>1954</v>
      </c>
      <c r="D127" s="22">
        <v>38497.0</v>
      </c>
      <c r="E127" s="23" t="s">
        <v>1955</v>
      </c>
      <c r="F127" s="23" t="s">
        <v>1324</v>
      </c>
      <c r="G127" s="94" t="s">
        <v>1956</v>
      </c>
      <c r="H127" s="23" t="s">
        <v>1957</v>
      </c>
      <c r="I127" s="24" t="s">
        <v>455</v>
      </c>
      <c r="J127" s="23" t="s">
        <v>1958</v>
      </c>
      <c r="K127" s="19" t="s">
        <v>931</v>
      </c>
      <c r="L127" s="23">
        <v>1.23456789E9</v>
      </c>
      <c r="M127" s="26">
        <v>46290.0</v>
      </c>
      <c r="N127" s="26">
        <v>46291.0</v>
      </c>
      <c r="O127" s="26">
        <v>46290.0</v>
      </c>
      <c r="P127" s="19" t="s">
        <v>126</v>
      </c>
      <c r="Q127" s="24" t="s">
        <v>501</v>
      </c>
      <c r="R127" s="27" t="s">
        <v>505</v>
      </c>
      <c r="S127" s="28">
        <v>3013000.0</v>
      </c>
      <c r="T127" s="29">
        <v>2109100.0</v>
      </c>
      <c r="U127" s="30">
        <v>903900.0</v>
      </c>
      <c r="V127" s="19" t="s">
        <v>1982</v>
      </c>
      <c r="W127" s="31"/>
      <c r="X127" s="31"/>
      <c r="Y127" s="65"/>
    </row>
    <row r="128" ht="22.5" customHeight="1">
      <c r="A128" s="19" t="s">
        <v>1984</v>
      </c>
      <c r="B128" s="23" t="s">
        <v>1960</v>
      </c>
      <c r="C128" s="93" t="s">
        <v>1961</v>
      </c>
      <c r="D128" s="22">
        <v>38179.0</v>
      </c>
      <c r="E128" s="23" t="s">
        <v>1962</v>
      </c>
      <c r="F128" s="23" t="s">
        <v>1374</v>
      </c>
      <c r="G128" s="94" t="s">
        <v>1963</v>
      </c>
      <c r="H128" s="23" t="s">
        <v>1964</v>
      </c>
      <c r="I128" s="24" t="s">
        <v>455</v>
      </c>
      <c r="J128" s="23" t="s">
        <v>1965</v>
      </c>
      <c r="K128" s="19" t="s">
        <v>1959</v>
      </c>
      <c r="L128" s="23">
        <v>1.23456789E9</v>
      </c>
      <c r="M128" s="26">
        <v>46290.0</v>
      </c>
      <c r="N128" s="26">
        <v>46291.0</v>
      </c>
      <c r="O128" s="26">
        <v>46290.0</v>
      </c>
      <c r="P128" s="19" t="s">
        <v>100</v>
      </c>
      <c r="Q128" s="24" t="s">
        <v>501</v>
      </c>
      <c r="R128" s="27" t="s">
        <v>505</v>
      </c>
      <c r="S128" s="28">
        <v>4149000.0</v>
      </c>
      <c r="T128" s="29">
        <v>2904300.0</v>
      </c>
      <c r="U128" s="30">
        <v>1244700.0</v>
      </c>
      <c r="V128" s="19" t="s">
        <v>1982</v>
      </c>
      <c r="W128" s="31"/>
      <c r="X128" s="31"/>
      <c r="Y128" s="65"/>
    </row>
    <row r="129" ht="22.5" customHeight="1">
      <c r="A129" s="19" t="s">
        <v>1985</v>
      </c>
      <c r="B129" s="23" t="s">
        <v>1966</v>
      </c>
      <c r="C129" s="93" t="s">
        <v>1967</v>
      </c>
      <c r="D129" s="22">
        <v>39218.0</v>
      </c>
      <c r="E129" s="23" t="s">
        <v>78</v>
      </c>
      <c r="F129" s="23" t="s">
        <v>1324</v>
      </c>
      <c r="G129" s="94" t="s">
        <v>1968</v>
      </c>
      <c r="H129" s="23" t="s">
        <v>1969</v>
      </c>
      <c r="I129" s="24" t="s">
        <v>455</v>
      </c>
      <c r="J129" s="19" t="s">
        <v>911</v>
      </c>
      <c r="K129" s="19" t="s">
        <v>1970</v>
      </c>
      <c r="L129" s="23">
        <v>7.896025791E9</v>
      </c>
      <c r="M129" s="26">
        <v>46290.0</v>
      </c>
      <c r="N129" s="26">
        <v>46291.0</v>
      </c>
      <c r="O129" s="26">
        <v>46290.0</v>
      </c>
      <c r="P129" s="19" t="s">
        <v>78</v>
      </c>
      <c r="Q129" s="24" t="s">
        <v>501</v>
      </c>
      <c r="R129" s="27" t="s">
        <v>505</v>
      </c>
      <c r="S129" s="28">
        <v>3856000.0</v>
      </c>
      <c r="T129" s="29">
        <v>2699200.0</v>
      </c>
      <c r="U129" s="30">
        <v>1156800.0</v>
      </c>
      <c r="V129" s="19" t="s">
        <v>1982</v>
      </c>
      <c r="W129" s="31"/>
      <c r="X129" s="31"/>
      <c r="Y129" s="65"/>
    </row>
    <row r="130" ht="22.5" customHeight="1">
      <c r="A130" s="19" t="s">
        <v>1986</v>
      </c>
      <c r="B130" s="23" t="s">
        <v>1971</v>
      </c>
      <c r="C130" s="93" t="s">
        <v>1972</v>
      </c>
      <c r="D130" s="22">
        <v>33739.0</v>
      </c>
      <c r="E130" s="23" t="s">
        <v>1973</v>
      </c>
      <c r="F130" s="23" t="s">
        <v>1374</v>
      </c>
      <c r="G130" s="94" t="s">
        <v>1974</v>
      </c>
      <c r="H130" s="23" t="s">
        <v>1975</v>
      </c>
      <c r="I130" s="24" t="s">
        <v>455</v>
      </c>
      <c r="J130" s="23" t="s">
        <v>921</v>
      </c>
      <c r="K130" s="19" t="s">
        <v>922</v>
      </c>
      <c r="L130" s="23">
        <v>8.695363385E9</v>
      </c>
      <c r="M130" s="26">
        <v>46290.0</v>
      </c>
      <c r="N130" s="26">
        <v>46291.0</v>
      </c>
      <c r="O130" s="26">
        <v>46290.0</v>
      </c>
      <c r="P130" s="19" t="s">
        <v>78</v>
      </c>
      <c r="Q130" s="24" t="s">
        <v>501</v>
      </c>
      <c r="R130" s="27" t="s">
        <v>505</v>
      </c>
      <c r="S130" s="28">
        <v>3828000.0</v>
      </c>
      <c r="T130" s="29">
        <v>2679600.0</v>
      </c>
      <c r="U130" s="30">
        <v>1148400.0</v>
      </c>
      <c r="V130" s="19" t="s">
        <v>1982</v>
      </c>
      <c r="W130" s="31"/>
      <c r="X130" s="31"/>
      <c r="Y130" s="65"/>
    </row>
    <row r="131" ht="22.5" customHeight="1">
      <c r="A131" s="20"/>
      <c r="B131" s="20"/>
      <c r="C131" s="21"/>
      <c r="D131" s="20"/>
      <c r="E131" s="20"/>
      <c r="F131" s="20"/>
      <c r="G131" s="23"/>
      <c r="H131" s="23"/>
      <c r="I131" s="77"/>
      <c r="J131" s="23"/>
      <c r="K131" s="23"/>
      <c r="L131" s="23"/>
      <c r="M131" s="32"/>
      <c r="N131" s="32"/>
      <c r="O131" s="32"/>
      <c r="P131" s="23"/>
      <c r="Q131" s="77"/>
      <c r="R131" s="95"/>
      <c r="S131" s="54"/>
      <c r="T131" s="84"/>
      <c r="U131" s="33"/>
      <c r="V131" s="23"/>
      <c r="W131" s="31"/>
      <c r="X131" s="31"/>
      <c r="Y131" s="65"/>
    </row>
    <row r="132" ht="22.5" customHeight="1">
      <c r="A132" s="20"/>
      <c r="B132" s="20"/>
      <c r="C132" s="21"/>
      <c r="D132" s="20"/>
      <c r="E132" s="20"/>
      <c r="F132" s="20"/>
      <c r="G132" s="23"/>
      <c r="H132" s="23"/>
      <c r="I132" s="77"/>
      <c r="J132" s="23"/>
      <c r="K132" s="23"/>
      <c r="L132" s="23"/>
      <c r="M132" s="32"/>
      <c r="N132" s="32"/>
      <c r="O132" s="32"/>
      <c r="P132" s="23"/>
      <c r="Q132" s="77"/>
      <c r="R132" s="95"/>
      <c r="S132" s="54"/>
      <c r="T132" s="84"/>
      <c r="U132" s="33"/>
      <c r="V132" s="23"/>
      <c r="W132" s="31"/>
      <c r="X132" s="31"/>
      <c r="Y132" s="65"/>
    </row>
    <row r="133" ht="22.5" customHeight="1">
      <c r="A133" s="20"/>
      <c r="B133" s="20"/>
      <c r="C133" s="21"/>
      <c r="D133" s="20"/>
      <c r="E133" s="20"/>
      <c r="F133" s="20"/>
      <c r="G133" s="23"/>
      <c r="H133" s="23"/>
      <c r="I133" s="77"/>
      <c r="J133" s="23"/>
      <c r="K133" s="23"/>
      <c r="L133" s="23"/>
      <c r="M133" s="32"/>
      <c r="N133" s="32"/>
      <c r="O133" s="32"/>
      <c r="P133" s="23"/>
      <c r="Q133" s="77"/>
      <c r="R133" s="95"/>
      <c r="S133" s="54"/>
      <c r="T133" s="84"/>
      <c r="U133" s="33"/>
      <c r="V133" s="23"/>
      <c r="W133" s="31"/>
      <c r="X133" s="31"/>
      <c r="Y133" s="65"/>
    </row>
    <row r="134" ht="22.5" customHeight="1">
      <c r="A134" s="20"/>
      <c r="B134" s="20"/>
      <c r="C134" s="21"/>
      <c r="D134" s="20"/>
      <c r="E134" s="20"/>
      <c r="F134" s="20"/>
      <c r="G134" s="23"/>
      <c r="H134" s="23"/>
      <c r="I134" s="77"/>
      <c r="J134" s="23"/>
      <c r="K134" s="23"/>
      <c r="L134" s="23"/>
      <c r="M134" s="32"/>
      <c r="N134" s="32"/>
      <c r="O134" s="32"/>
      <c r="P134" s="23"/>
      <c r="Q134" s="77"/>
      <c r="R134" s="95"/>
      <c r="S134" s="54"/>
      <c r="T134" s="84"/>
      <c r="U134" s="33"/>
      <c r="V134" s="23"/>
      <c r="W134" s="31"/>
      <c r="X134" s="31"/>
      <c r="Y134" s="65"/>
    </row>
    <row r="135" ht="22.5" customHeight="1">
      <c r="A135" s="20"/>
      <c r="B135" s="20"/>
      <c r="C135" s="21"/>
      <c r="D135" s="20"/>
      <c r="E135" s="20"/>
      <c r="F135" s="20"/>
      <c r="G135" s="23"/>
      <c r="H135" s="23"/>
      <c r="I135" s="77"/>
      <c r="J135" s="23"/>
      <c r="K135" s="23"/>
      <c r="L135" s="23"/>
      <c r="M135" s="32"/>
      <c r="N135" s="32"/>
      <c r="O135" s="32"/>
      <c r="P135" s="23"/>
      <c r="Q135" s="77"/>
      <c r="R135" s="95"/>
      <c r="S135" s="54"/>
      <c r="T135" s="84"/>
      <c r="U135" s="33"/>
      <c r="V135" s="23"/>
      <c r="W135" s="31"/>
      <c r="X135" s="31"/>
      <c r="Y135" s="65"/>
    </row>
    <row r="136" ht="22.5" customHeight="1">
      <c r="A136" s="20"/>
      <c r="B136" s="20"/>
      <c r="C136" s="21"/>
      <c r="D136" s="20"/>
      <c r="E136" s="20"/>
      <c r="F136" s="20"/>
      <c r="G136" s="23"/>
      <c r="H136" s="23"/>
      <c r="I136" s="77"/>
      <c r="J136" s="23"/>
      <c r="K136" s="23"/>
      <c r="L136" s="23"/>
      <c r="M136" s="32"/>
      <c r="N136" s="32"/>
      <c r="O136" s="32"/>
      <c r="P136" s="23"/>
      <c r="Q136" s="77"/>
      <c r="R136" s="95"/>
      <c r="S136" s="54"/>
      <c r="T136" s="84"/>
      <c r="U136" s="33"/>
      <c r="V136" s="23"/>
      <c r="W136" s="31"/>
      <c r="X136" s="31"/>
      <c r="Y136" s="65"/>
    </row>
    <row r="137" ht="22.5" customHeight="1">
      <c r="A137" s="20"/>
      <c r="B137" s="20"/>
      <c r="C137" s="21"/>
      <c r="D137" s="20"/>
      <c r="E137" s="20"/>
      <c r="F137" s="20"/>
      <c r="G137" s="23"/>
      <c r="H137" s="23"/>
      <c r="I137" s="77"/>
      <c r="J137" s="23"/>
      <c r="K137" s="23"/>
      <c r="L137" s="23"/>
      <c r="M137" s="32"/>
      <c r="N137" s="32"/>
      <c r="O137" s="32"/>
      <c r="P137" s="23"/>
      <c r="Q137" s="77"/>
      <c r="R137" s="95"/>
      <c r="S137" s="54"/>
      <c r="T137" s="84"/>
      <c r="U137" s="33"/>
      <c r="V137" s="23"/>
      <c r="W137" s="31"/>
      <c r="X137" s="31"/>
      <c r="Y137" s="65"/>
    </row>
    <row r="138" ht="22.5" customHeight="1">
      <c r="A138" s="20"/>
      <c r="B138" s="20"/>
      <c r="C138" s="21"/>
      <c r="D138" s="20"/>
      <c r="E138" s="20"/>
      <c r="F138" s="20"/>
      <c r="G138" s="23"/>
      <c r="H138" s="23"/>
      <c r="I138" s="77"/>
      <c r="J138" s="23"/>
      <c r="K138" s="23"/>
      <c r="L138" s="23"/>
      <c r="M138" s="32"/>
      <c r="N138" s="32"/>
      <c r="O138" s="32"/>
      <c r="P138" s="23"/>
      <c r="Q138" s="77"/>
      <c r="R138" s="95"/>
      <c r="S138" s="54"/>
      <c r="T138" s="84"/>
      <c r="U138" s="33"/>
      <c r="V138" s="23"/>
      <c r="W138" s="31"/>
      <c r="X138" s="31"/>
      <c r="Y138" s="65"/>
    </row>
    <row r="139" ht="22.5" customHeight="1">
      <c r="A139" s="20"/>
      <c r="B139" s="20"/>
      <c r="C139" s="21"/>
      <c r="D139" s="20"/>
      <c r="E139" s="20"/>
      <c r="F139" s="20"/>
      <c r="G139" s="23"/>
      <c r="H139" s="23"/>
      <c r="I139" s="77"/>
      <c r="J139" s="23"/>
      <c r="K139" s="23"/>
      <c r="L139" s="23"/>
      <c r="M139" s="32"/>
      <c r="N139" s="32"/>
      <c r="O139" s="32"/>
      <c r="P139" s="23"/>
      <c r="Q139" s="77"/>
      <c r="R139" s="95"/>
      <c r="S139" s="54"/>
      <c r="T139" s="84"/>
      <c r="U139" s="33"/>
      <c r="V139" s="23"/>
      <c r="W139" s="31"/>
      <c r="X139" s="31"/>
      <c r="Y139" s="65"/>
    </row>
    <row r="140" ht="22.5" customHeight="1">
      <c r="A140" s="20"/>
      <c r="B140" s="20"/>
      <c r="C140" s="21"/>
      <c r="D140" s="20"/>
      <c r="E140" s="20"/>
      <c r="F140" s="20"/>
      <c r="G140" s="23"/>
      <c r="H140" s="23"/>
      <c r="I140" s="77"/>
      <c r="J140" s="23"/>
      <c r="K140" s="23"/>
      <c r="L140" s="23"/>
      <c r="M140" s="32"/>
      <c r="N140" s="32"/>
      <c r="O140" s="32"/>
      <c r="P140" s="23"/>
      <c r="Q140" s="77"/>
      <c r="R140" s="95"/>
      <c r="S140" s="54"/>
      <c r="T140" s="84"/>
      <c r="U140" s="33"/>
      <c r="V140" s="23"/>
      <c r="W140" s="31"/>
      <c r="X140" s="31"/>
      <c r="Y140" s="65"/>
    </row>
    <row r="141" ht="22.5" customHeight="1">
      <c r="A141" s="20"/>
      <c r="B141" s="20"/>
      <c r="C141" s="21"/>
      <c r="D141" s="20"/>
      <c r="E141" s="20"/>
      <c r="F141" s="20"/>
      <c r="G141" s="23"/>
      <c r="H141" s="23"/>
      <c r="I141" s="77"/>
      <c r="J141" s="23"/>
      <c r="K141" s="23"/>
      <c r="L141" s="23"/>
      <c r="M141" s="32"/>
      <c r="N141" s="32"/>
      <c r="O141" s="32"/>
      <c r="P141" s="23"/>
      <c r="Q141" s="77"/>
      <c r="R141" s="95"/>
      <c r="S141" s="54"/>
      <c r="T141" s="84"/>
      <c r="U141" s="33"/>
      <c r="V141" s="23"/>
      <c r="W141" s="31"/>
      <c r="X141" s="31"/>
      <c r="Y141" s="65"/>
    </row>
    <row r="142" ht="22.5" customHeight="1">
      <c r="A142" s="20"/>
      <c r="B142" s="20"/>
      <c r="C142" s="21"/>
      <c r="D142" s="20"/>
      <c r="E142" s="20"/>
      <c r="F142" s="20"/>
      <c r="G142" s="23"/>
      <c r="H142" s="23"/>
      <c r="I142" s="77"/>
      <c r="J142" s="23"/>
      <c r="K142" s="23"/>
      <c r="L142" s="23"/>
      <c r="M142" s="32"/>
      <c r="N142" s="32"/>
      <c r="O142" s="32"/>
      <c r="P142" s="23"/>
      <c r="Q142" s="77"/>
      <c r="R142" s="95"/>
      <c r="S142" s="54"/>
      <c r="T142" s="84"/>
      <c r="U142" s="33"/>
      <c r="V142" s="23"/>
      <c r="W142" s="31"/>
      <c r="X142" s="31"/>
      <c r="Y142" s="65"/>
    </row>
    <row r="143" ht="22.5" customHeight="1">
      <c r="A143" s="20"/>
      <c r="B143" s="20"/>
      <c r="C143" s="21"/>
      <c r="D143" s="20"/>
      <c r="E143" s="20"/>
      <c r="F143" s="20"/>
      <c r="G143" s="23"/>
      <c r="H143" s="23"/>
      <c r="I143" s="77"/>
      <c r="J143" s="23"/>
      <c r="K143" s="23"/>
      <c r="L143" s="23"/>
      <c r="M143" s="32"/>
      <c r="N143" s="32"/>
      <c r="O143" s="32"/>
      <c r="P143" s="23"/>
      <c r="Q143" s="77"/>
      <c r="R143" s="95"/>
      <c r="S143" s="54"/>
      <c r="T143" s="84"/>
      <c r="U143" s="33"/>
      <c r="V143" s="23"/>
      <c r="W143" s="31"/>
      <c r="X143" s="31"/>
      <c r="Y143" s="65"/>
    </row>
    <row r="144" ht="22.5" customHeight="1">
      <c r="A144" s="20"/>
      <c r="B144" s="20"/>
      <c r="C144" s="21"/>
      <c r="D144" s="20"/>
      <c r="E144" s="20"/>
      <c r="F144" s="20"/>
      <c r="G144" s="23"/>
      <c r="H144" s="23"/>
      <c r="I144" s="77"/>
      <c r="J144" s="23"/>
      <c r="K144" s="23"/>
      <c r="L144" s="23"/>
      <c r="M144" s="32"/>
      <c r="N144" s="32"/>
      <c r="O144" s="32"/>
      <c r="P144" s="23"/>
      <c r="Q144" s="77"/>
      <c r="R144" s="95"/>
      <c r="S144" s="54"/>
      <c r="T144" s="84"/>
      <c r="U144" s="33"/>
      <c r="V144" s="23"/>
      <c r="W144" s="31"/>
      <c r="X144" s="31"/>
      <c r="Y144" s="65"/>
    </row>
    <row r="145" ht="22.5" customHeight="1">
      <c r="A145" s="20"/>
      <c r="B145" s="20"/>
      <c r="C145" s="21"/>
      <c r="D145" s="20"/>
      <c r="E145" s="20"/>
      <c r="F145" s="20"/>
      <c r="G145" s="23"/>
      <c r="H145" s="23"/>
      <c r="I145" s="77"/>
      <c r="J145" s="23"/>
      <c r="K145" s="23"/>
      <c r="L145" s="23"/>
      <c r="M145" s="32"/>
      <c r="N145" s="32"/>
      <c r="O145" s="32"/>
      <c r="P145" s="23"/>
      <c r="Q145" s="77"/>
      <c r="R145" s="95"/>
      <c r="S145" s="54"/>
      <c r="T145" s="84"/>
      <c r="U145" s="33"/>
      <c r="V145" s="23"/>
      <c r="W145" s="31"/>
      <c r="X145" s="31"/>
      <c r="Y145" s="65"/>
    </row>
    <row r="146" ht="22.5" customHeight="1">
      <c r="A146" s="20"/>
      <c r="B146" s="20"/>
      <c r="C146" s="21"/>
      <c r="D146" s="20"/>
      <c r="E146" s="20"/>
      <c r="F146" s="20"/>
      <c r="G146" s="23"/>
      <c r="H146" s="23"/>
      <c r="I146" s="77"/>
      <c r="J146" s="23"/>
      <c r="K146" s="23"/>
      <c r="L146" s="23"/>
      <c r="M146" s="32"/>
      <c r="N146" s="32"/>
      <c r="O146" s="32"/>
      <c r="P146" s="23"/>
      <c r="Q146" s="77"/>
      <c r="R146" s="95"/>
      <c r="S146" s="54"/>
      <c r="T146" s="84"/>
      <c r="U146" s="33"/>
      <c r="V146" s="23"/>
      <c r="W146" s="31"/>
      <c r="X146" s="31"/>
      <c r="Y146" s="65"/>
    </row>
    <row r="147" ht="22.5" customHeight="1">
      <c r="A147" s="20"/>
      <c r="B147" s="20"/>
      <c r="C147" s="21"/>
      <c r="D147" s="20"/>
      <c r="E147" s="20"/>
      <c r="F147" s="20"/>
      <c r="G147" s="23"/>
      <c r="H147" s="23"/>
      <c r="I147" s="77"/>
      <c r="J147" s="23"/>
      <c r="K147" s="23"/>
      <c r="L147" s="23"/>
      <c r="M147" s="32"/>
      <c r="N147" s="32"/>
      <c r="O147" s="32"/>
      <c r="P147" s="23"/>
      <c r="Q147" s="77"/>
      <c r="R147" s="95"/>
      <c r="S147" s="54"/>
      <c r="T147" s="84"/>
      <c r="U147" s="33"/>
      <c r="V147" s="23"/>
      <c r="W147" s="31"/>
      <c r="X147" s="31"/>
      <c r="Y147" s="65"/>
    </row>
    <row r="148" ht="22.5" customHeight="1">
      <c r="A148" s="20"/>
      <c r="B148" s="20"/>
      <c r="C148" s="21"/>
      <c r="D148" s="20"/>
      <c r="E148" s="20"/>
      <c r="F148" s="20"/>
      <c r="G148" s="23"/>
      <c r="H148" s="23"/>
      <c r="I148" s="77"/>
      <c r="J148" s="23"/>
      <c r="K148" s="23"/>
      <c r="L148" s="23"/>
      <c r="M148" s="32"/>
      <c r="N148" s="32"/>
      <c r="O148" s="32"/>
      <c r="P148" s="23"/>
      <c r="Q148" s="77"/>
      <c r="R148" s="95"/>
      <c r="S148" s="54"/>
      <c r="T148" s="84"/>
      <c r="U148" s="33"/>
      <c r="V148" s="23"/>
      <c r="W148" s="31"/>
      <c r="X148" s="31"/>
      <c r="Y148" s="65"/>
    </row>
    <row r="149" ht="22.5" customHeight="1">
      <c r="A149" s="20"/>
      <c r="B149" s="20"/>
      <c r="C149" s="21"/>
      <c r="D149" s="20"/>
      <c r="E149" s="20"/>
      <c r="F149" s="20"/>
      <c r="G149" s="23"/>
      <c r="H149" s="23"/>
      <c r="I149" s="77"/>
      <c r="J149" s="23"/>
      <c r="K149" s="23"/>
      <c r="L149" s="23"/>
      <c r="M149" s="32"/>
      <c r="N149" s="32"/>
      <c r="O149" s="32"/>
      <c r="P149" s="23"/>
      <c r="Q149" s="77"/>
      <c r="R149" s="95"/>
      <c r="S149" s="54"/>
      <c r="T149" s="84"/>
      <c r="U149" s="33"/>
      <c r="V149" s="23"/>
      <c r="W149" s="31"/>
      <c r="X149" s="31"/>
      <c r="Y149" s="65"/>
    </row>
    <row r="150" ht="22.5" customHeight="1">
      <c r="A150" s="20"/>
      <c r="B150" s="20"/>
      <c r="C150" s="21"/>
      <c r="D150" s="20"/>
      <c r="E150" s="20"/>
      <c r="F150" s="20"/>
      <c r="G150" s="23"/>
      <c r="H150" s="23"/>
      <c r="I150" s="77"/>
      <c r="J150" s="23"/>
      <c r="K150" s="23"/>
      <c r="L150" s="23"/>
      <c r="M150" s="32"/>
      <c r="N150" s="32"/>
      <c r="O150" s="32"/>
      <c r="P150" s="23"/>
      <c r="Q150" s="77"/>
      <c r="R150" s="95"/>
      <c r="S150" s="54"/>
      <c r="T150" s="84"/>
      <c r="U150" s="33"/>
      <c r="V150" s="23"/>
      <c r="W150" s="31"/>
      <c r="X150" s="31"/>
      <c r="Y150" s="65"/>
    </row>
    <row r="151" ht="22.5" customHeight="1">
      <c r="A151" s="20"/>
      <c r="B151" s="20"/>
      <c r="C151" s="21"/>
      <c r="D151" s="20"/>
      <c r="E151" s="20"/>
      <c r="F151" s="20"/>
      <c r="G151" s="23"/>
      <c r="H151" s="23"/>
      <c r="I151" s="77"/>
      <c r="J151" s="23"/>
      <c r="K151" s="23"/>
      <c r="L151" s="23"/>
      <c r="M151" s="32"/>
      <c r="N151" s="32"/>
      <c r="O151" s="32"/>
      <c r="P151" s="23"/>
      <c r="Q151" s="77"/>
      <c r="R151" s="95"/>
      <c r="S151" s="54"/>
      <c r="T151" s="84"/>
      <c r="U151" s="33"/>
      <c r="V151" s="23"/>
      <c r="W151" s="31"/>
      <c r="X151" s="31"/>
      <c r="Y151" s="65"/>
    </row>
    <row r="152" ht="22.5" customHeight="1">
      <c r="A152" s="20"/>
      <c r="B152" s="20"/>
      <c r="C152" s="21"/>
      <c r="D152" s="20"/>
      <c r="E152" s="20"/>
      <c r="F152" s="20"/>
      <c r="G152" s="23"/>
      <c r="H152" s="23"/>
      <c r="I152" s="77"/>
      <c r="J152" s="23"/>
      <c r="K152" s="23"/>
      <c r="L152" s="23"/>
      <c r="M152" s="32"/>
      <c r="N152" s="32"/>
      <c r="O152" s="32"/>
      <c r="P152" s="23"/>
      <c r="Q152" s="77"/>
      <c r="R152" s="95"/>
      <c r="S152" s="54"/>
      <c r="T152" s="84"/>
      <c r="U152" s="33"/>
      <c r="V152" s="23"/>
      <c r="W152" s="31"/>
      <c r="X152" s="31"/>
      <c r="Y152" s="65"/>
    </row>
    <row r="153" ht="22.5" customHeight="1">
      <c r="A153" s="20"/>
      <c r="B153" s="20"/>
      <c r="C153" s="21"/>
      <c r="D153" s="20"/>
      <c r="E153" s="20"/>
      <c r="F153" s="20"/>
      <c r="G153" s="23"/>
      <c r="H153" s="23"/>
      <c r="I153" s="77"/>
      <c r="J153" s="23"/>
      <c r="K153" s="23"/>
      <c r="L153" s="23"/>
      <c r="M153" s="32"/>
      <c r="N153" s="32"/>
      <c r="O153" s="32"/>
      <c r="P153" s="23"/>
      <c r="Q153" s="77"/>
      <c r="R153" s="95"/>
      <c r="S153" s="54"/>
      <c r="T153" s="84"/>
      <c r="U153" s="33"/>
      <c r="V153" s="23"/>
      <c r="W153" s="31"/>
      <c r="X153" s="31"/>
      <c r="Y153" s="65"/>
    </row>
    <row r="154" ht="22.5" customHeight="1">
      <c r="A154" s="20"/>
      <c r="B154" s="20"/>
      <c r="C154" s="21"/>
      <c r="D154" s="20"/>
      <c r="E154" s="20"/>
      <c r="F154" s="20"/>
      <c r="G154" s="23"/>
      <c r="H154" s="23"/>
      <c r="I154" s="77"/>
      <c r="J154" s="23"/>
      <c r="K154" s="23"/>
      <c r="L154" s="23"/>
      <c r="M154" s="32"/>
      <c r="N154" s="32"/>
      <c r="O154" s="32"/>
      <c r="P154" s="23"/>
      <c r="Q154" s="77"/>
      <c r="R154" s="95"/>
      <c r="S154" s="54"/>
      <c r="T154" s="84"/>
      <c r="U154" s="33"/>
      <c r="V154" s="23"/>
      <c r="W154" s="31"/>
      <c r="X154" s="31"/>
      <c r="Y154" s="65"/>
    </row>
    <row r="155" ht="22.5" customHeight="1">
      <c r="A155" s="20"/>
      <c r="B155" s="20"/>
      <c r="C155" s="21"/>
      <c r="D155" s="20"/>
      <c r="E155" s="20"/>
      <c r="F155" s="20"/>
      <c r="G155" s="23"/>
      <c r="H155" s="23"/>
      <c r="I155" s="77"/>
      <c r="J155" s="23"/>
      <c r="K155" s="23"/>
      <c r="L155" s="23"/>
      <c r="M155" s="32"/>
      <c r="N155" s="32"/>
      <c r="O155" s="32"/>
      <c r="P155" s="23"/>
      <c r="Q155" s="77"/>
      <c r="R155" s="95"/>
      <c r="S155" s="54"/>
      <c r="T155" s="84"/>
      <c r="U155" s="33"/>
      <c r="V155" s="23"/>
      <c r="W155" s="31"/>
      <c r="X155" s="31"/>
      <c r="Y155" s="65"/>
    </row>
    <row r="156" ht="22.5" customHeight="1">
      <c r="A156" s="20"/>
      <c r="B156" s="20"/>
      <c r="C156" s="21"/>
      <c r="D156" s="20"/>
      <c r="E156" s="20"/>
      <c r="F156" s="20"/>
      <c r="G156" s="23"/>
      <c r="H156" s="23"/>
      <c r="I156" s="77"/>
      <c r="J156" s="23"/>
      <c r="K156" s="23"/>
      <c r="L156" s="23"/>
      <c r="M156" s="32"/>
      <c r="N156" s="32"/>
      <c r="O156" s="32"/>
      <c r="P156" s="23"/>
      <c r="Q156" s="77"/>
      <c r="R156" s="95"/>
      <c r="S156" s="54"/>
      <c r="T156" s="84"/>
      <c r="U156" s="33"/>
      <c r="V156" s="23"/>
      <c r="W156" s="31"/>
      <c r="X156" s="31"/>
      <c r="Y156" s="65"/>
    </row>
    <row r="157" ht="22.5" customHeight="1">
      <c r="A157" s="20"/>
      <c r="B157" s="20"/>
      <c r="C157" s="21"/>
      <c r="D157" s="20"/>
      <c r="E157" s="20"/>
      <c r="F157" s="20"/>
      <c r="G157" s="23"/>
      <c r="H157" s="23"/>
      <c r="I157" s="77"/>
      <c r="J157" s="23"/>
      <c r="K157" s="23"/>
      <c r="L157" s="23"/>
      <c r="M157" s="32"/>
      <c r="N157" s="32"/>
      <c r="O157" s="32"/>
      <c r="P157" s="23"/>
      <c r="Q157" s="77"/>
      <c r="R157" s="95"/>
      <c r="S157" s="54"/>
      <c r="T157" s="84"/>
      <c r="U157" s="33"/>
      <c r="V157" s="23"/>
      <c r="W157" s="31"/>
      <c r="X157" s="31"/>
      <c r="Y157" s="65"/>
    </row>
    <row r="158" ht="22.5" customHeight="1">
      <c r="A158" s="20"/>
      <c r="B158" s="20"/>
      <c r="C158" s="21"/>
      <c r="D158" s="20"/>
      <c r="E158" s="20"/>
      <c r="F158" s="20"/>
      <c r="G158" s="23"/>
      <c r="H158" s="23"/>
      <c r="I158" s="77"/>
      <c r="J158" s="23"/>
      <c r="K158" s="23"/>
      <c r="L158" s="23"/>
      <c r="M158" s="32"/>
      <c r="N158" s="32"/>
      <c r="O158" s="32"/>
      <c r="P158" s="23"/>
      <c r="Q158" s="77"/>
      <c r="R158" s="95"/>
      <c r="S158" s="54"/>
      <c r="T158" s="84"/>
      <c r="U158" s="33"/>
      <c r="V158" s="23"/>
      <c r="W158" s="31"/>
      <c r="X158" s="31"/>
      <c r="Y158" s="65"/>
    </row>
    <row r="159" ht="22.5" customHeight="1">
      <c r="A159" s="20"/>
      <c r="B159" s="20"/>
      <c r="C159" s="21"/>
      <c r="D159" s="20"/>
      <c r="E159" s="20"/>
      <c r="F159" s="20"/>
      <c r="G159" s="23"/>
      <c r="H159" s="23"/>
      <c r="I159" s="77"/>
      <c r="J159" s="23"/>
      <c r="K159" s="23"/>
      <c r="L159" s="23"/>
      <c r="M159" s="32"/>
      <c r="N159" s="32"/>
      <c r="O159" s="32"/>
      <c r="P159" s="23"/>
      <c r="Q159" s="77"/>
      <c r="R159" s="95"/>
      <c r="S159" s="54"/>
      <c r="T159" s="84"/>
      <c r="U159" s="33"/>
      <c r="V159" s="23"/>
      <c r="W159" s="31"/>
      <c r="X159" s="31"/>
      <c r="Y159" s="65"/>
    </row>
    <row r="160" ht="22.5" customHeight="1">
      <c r="A160" s="20"/>
      <c r="B160" s="20"/>
      <c r="C160" s="21"/>
      <c r="D160" s="20"/>
      <c r="E160" s="20"/>
      <c r="F160" s="20"/>
      <c r="G160" s="23"/>
      <c r="H160" s="23"/>
      <c r="I160" s="77"/>
      <c r="J160" s="23"/>
      <c r="K160" s="23"/>
      <c r="L160" s="23"/>
      <c r="M160" s="32"/>
      <c r="N160" s="32"/>
      <c r="O160" s="32"/>
      <c r="P160" s="23"/>
      <c r="Q160" s="77"/>
      <c r="R160" s="95"/>
      <c r="S160" s="54"/>
      <c r="T160" s="84"/>
      <c r="U160" s="33"/>
      <c r="V160" s="23"/>
      <c r="W160" s="31"/>
      <c r="X160" s="31"/>
      <c r="Y160" s="65"/>
    </row>
    <row r="161" ht="22.5" customHeight="1">
      <c r="A161" s="20"/>
      <c r="B161" s="20"/>
      <c r="C161" s="21"/>
      <c r="D161" s="20"/>
      <c r="E161" s="20"/>
      <c r="F161" s="20"/>
      <c r="G161" s="23"/>
      <c r="H161" s="23"/>
      <c r="I161" s="77"/>
      <c r="J161" s="23"/>
      <c r="K161" s="23"/>
      <c r="L161" s="23"/>
      <c r="M161" s="32"/>
      <c r="N161" s="32"/>
      <c r="O161" s="32"/>
      <c r="P161" s="23"/>
      <c r="Q161" s="77"/>
      <c r="R161" s="95"/>
      <c r="S161" s="54"/>
      <c r="T161" s="84"/>
      <c r="U161" s="33"/>
      <c r="V161" s="23"/>
      <c r="W161" s="31"/>
      <c r="X161" s="31"/>
      <c r="Y161" s="65"/>
    </row>
    <row r="162" ht="22.5" customHeight="1">
      <c r="A162" s="20"/>
      <c r="B162" s="20"/>
      <c r="C162" s="21"/>
      <c r="D162" s="20"/>
      <c r="E162" s="20"/>
      <c r="F162" s="20"/>
      <c r="G162" s="23"/>
      <c r="H162" s="23"/>
      <c r="I162" s="77"/>
      <c r="J162" s="23"/>
      <c r="K162" s="23"/>
      <c r="L162" s="23"/>
      <c r="M162" s="32"/>
      <c r="N162" s="32"/>
      <c r="O162" s="32"/>
      <c r="P162" s="23"/>
      <c r="Q162" s="77"/>
      <c r="R162" s="95"/>
      <c r="S162" s="54"/>
      <c r="T162" s="84"/>
      <c r="U162" s="33"/>
      <c r="V162" s="23"/>
      <c r="W162" s="31"/>
      <c r="X162" s="31"/>
      <c r="Y162" s="65"/>
    </row>
    <row r="163" ht="22.5" customHeight="1">
      <c r="A163" s="20"/>
      <c r="B163" s="20"/>
      <c r="C163" s="21"/>
      <c r="D163" s="20"/>
      <c r="E163" s="20"/>
      <c r="F163" s="20"/>
      <c r="G163" s="23"/>
      <c r="H163" s="23"/>
      <c r="I163" s="77"/>
      <c r="J163" s="23"/>
      <c r="K163" s="23"/>
      <c r="L163" s="23"/>
      <c r="M163" s="32"/>
      <c r="N163" s="32"/>
      <c r="O163" s="32"/>
      <c r="P163" s="23"/>
      <c r="Q163" s="77"/>
      <c r="R163" s="95"/>
      <c r="S163" s="54"/>
      <c r="T163" s="84"/>
      <c r="U163" s="33"/>
      <c r="V163" s="23"/>
      <c r="W163" s="31"/>
      <c r="X163" s="31"/>
      <c r="Y163" s="65"/>
    </row>
    <row r="164" ht="22.5" customHeight="1">
      <c r="A164" s="20"/>
      <c r="B164" s="20"/>
      <c r="C164" s="21"/>
      <c r="D164" s="20"/>
      <c r="E164" s="20"/>
      <c r="F164" s="20"/>
      <c r="G164" s="23"/>
      <c r="H164" s="23"/>
      <c r="I164" s="77"/>
      <c r="J164" s="23"/>
      <c r="K164" s="23"/>
      <c r="L164" s="23"/>
      <c r="M164" s="32"/>
      <c r="N164" s="32"/>
      <c r="O164" s="32"/>
      <c r="P164" s="23"/>
      <c r="Q164" s="77"/>
      <c r="R164" s="95"/>
      <c r="S164" s="54"/>
      <c r="T164" s="84"/>
      <c r="U164" s="33"/>
      <c r="V164" s="23"/>
      <c r="W164" s="31"/>
      <c r="X164" s="31"/>
      <c r="Y164" s="65"/>
    </row>
    <row r="165" ht="22.5" customHeight="1">
      <c r="A165" s="20"/>
      <c r="B165" s="20"/>
      <c r="C165" s="21"/>
      <c r="D165" s="20"/>
      <c r="E165" s="20"/>
      <c r="F165" s="20"/>
      <c r="G165" s="23"/>
      <c r="H165" s="23"/>
      <c r="I165" s="77"/>
      <c r="J165" s="23"/>
      <c r="K165" s="23"/>
      <c r="L165" s="23"/>
      <c r="M165" s="32"/>
      <c r="N165" s="32"/>
      <c r="O165" s="32"/>
      <c r="P165" s="23"/>
      <c r="Q165" s="77"/>
      <c r="R165" s="95"/>
      <c r="S165" s="54"/>
      <c r="T165" s="84"/>
      <c r="U165" s="33"/>
      <c r="V165" s="23"/>
      <c r="W165" s="31"/>
      <c r="X165" s="31"/>
      <c r="Y165" s="65"/>
    </row>
    <row r="166" ht="22.5" customHeight="1">
      <c r="A166" s="20"/>
      <c r="B166" s="20"/>
      <c r="C166" s="21"/>
      <c r="D166" s="20"/>
      <c r="E166" s="20"/>
      <c r="F166" s="20"/>
      <c r="G166" s="23"/>
      <c r="H166" s="23"/>
      <c r="I166" s="77"/>
      <c r="J166" s="23"/>
      <c r="K166" s="23"/>
      <c r="L166" s="23"/>
      <c r="M166" s="32"/>
      <c r="N166" s="32"/>
      <c r="O166" s="32"/>
      <c r="P166" s="23"/>
      <c r="Q166" s="77"/>
      <c r="R166" s="95"/>
      <c r="S166" s="54"/>
      <c r="T166" s="84"/>
      <c r="U166" s="33"/>
      <c r="V166" s="23"/>
      <c r="W166" s="31"/>
      <c r="X166" s="31"/>
      <c r="Y166" s="65"/>
    </row>
    <row r="167" ht="22.5" customHeight="1">
      <c r="A167" s="20"/>
      <c r="B167" s="20"/>
      <c r="C167" s="21"/>
      <c r="D167" s="20"/>
      <c r="E167" s="20"/>
      <c r="F167" s="20"/>
      <c r="G167" s="23"/>
      <c r="H167" s="23"/>
      <c r="I167" s="77"/>
      <c r="J167" s="23"/>
      <c r="K167" s="23"/>
      <c r="L167" s="23"/>
      <c r="M167" s="32"/>
      <c r="N167" s="32"/>
      <c r="O167" s="32"/>
      <c r="P167" s="23"/>
      <c r="Q167" s="77"/>
      <c r="R167" s="95"/>
      <c r="S167" s="54"/>
      <c r="T167" s="84"/>
      <c r="U167" s="33"/>
      <c r="V167" s="23"/>
      <c r="W167" s="31"/>
      <c r="X167" s="31"/>
      <c r="Y167" s="65"/>
    </row>
    <row r="168" ht="22.5" customHeight="1">
      <c r="A168" s="20"/>
      <c r="B168" s="20"/>
      <c r="C168" s="21"/>
      <c r="D168" s="20"/>
      <c r="E168" s="20"/>
      <c r="F168" s="20"/>
      <c r="G168" s="23"/>
      <c r="H168" s="23"/>
      <c r="I168" s="77"/>
      <c r="J168" s="23"/>
      <c r="K168" s="23"/>
      <c r="L168" s="23"/>
      <c r="M168" s="32"/>
      <c r="N168" s="32"/>
      <c r="O168" s="32"/>
      <c r="P168" s="23"/>
      <c r="Q168" s="77"/>
      <c r="R168" s="95"/>
      <c r="S168" s="54"/>
      <c r="T168" s="84"/>
      <c r="U168" s="33"/>
      <c r="V168" s="23"/>
      <c r="W168" s="31"/>
      <c r="X168" s="31"/>
      <c r="Y168" s="65"/>
    </row>
    <row r="169" ht="22.5" customHeight="1">
      <c r="A169" s="20"/>
      <c r="B169" s="20"/>
      <c r="C169" s="21"/>
      <c r="D169" s="20"/>
      <c r="E169" s="20"/>
      <c r="F169" s="20"/>
      <c r="G169" s="23"/>
      <c r="H169" s="23"/>
      <c r="I169" s="77"/>
      <c r="J169" s="23"/>
      <c r="K169" s="23"/>
      <c r="L169" s="23"/>
      <c r="M169" s="32"/>
      <c r="N169" s="32"/>
      <c r="O169" s="32"/>
      <c r="P169" s="23"/>
      <c r="Q169" s="77"/>
      <c r="R169" s="95"/>
      <c r="S169" s="54"/>
      <c r="T169" s="84"/>
      <c r="U169" s="33"/>
      <c r="V169" s="23"/>
      <c r="W169" s="31"/>
      <c r="X169" s="31"/>
      <c r="Y169" s="65"/>
    </row>
    <row r="170" ht="22.5" customHeight="1">
      <c r="A170" s="20"/>
      <c r="B170" s="20"/>
      <c r="C170" s="21"/>
      <c r="D170" s="20"/>
      <c r="E170" s="20"/>
      <c r="F170" s="20"/>
      <c r="G170" s="23"/>
      <c r="H170" s="23"/>
      <c r="I170" s="77"/>
      <c r="J170" s="23"/>
      <c r="K170" s="23"/>
      <c r="L170" s="23"/>
      <c r="M170" s="32"/>
      <c r="N170" s="32"/>
      <c r="O170" s="32"/>
      <c r="P170" s="23"/>
      <c r="Q170" s="77"/>
      <c r="R170" s="95"/>
      <c r="S170" s="54"/>
      <c r="T170" s="84"/>
      <c r="U170" s="33"/>
      <c r="V170" s="23"/>
      <c r="W170" s="31"/>
      <c r="X170" s="31"/>
      <c r="Y170" s="65"/>
    </row>
    <row r="171" ht="22.5" customHeight="1">
      <c r="A171" s="20"/>
      <c r="B171" s="20"/>
      <c r="C171" s="21"/>
      <c r="D171" s="20"/>
      <c r="E171" s="20"/>
      <c r="F171" s="20"/>
      <c r="G171" s="23"/>
      <c r="H171" s="23"/>
      <c r="I171" s="77"/>
      <c r="J171" s="23"/>
      <c r="K171" s="23"/>
      <c r="L171" s="23"/>
      <c r="M171" s="32"/>
      <c r="N171" s="32"/>
      <c r="O171" s="32"/>
      <c r="P171" s="23"/>
      <c r="Q171" s="77"/>
      <c r="R171" s="95"/>
      <c r="S171" s="54"/>
      <c r="T171" s="84"/>
      <c r="U171" s="33"/>
      <c r="V171" s="23"/>
      <c r="W171" s="31"/>
      <c r="X171" s="31"/>
      <c r="Y171" s="65"/>
    </row>
    <row r="172" ht="22.5" customHeight="1">
      <c r="A172" s="20"/>
      <c r="B172" s="20"/>
      <c r="C172" s="21"/>
      <c r="D172" s="20"/>
      <c r="E172" s="20"/>
      <c r="F172" s="20"/>
      <c r="G172" s="23"/>
      <c r="H172" s="23"/>
      <c r="I172" s="77"/>
      <c r="J172" s="23"/>
      <c r="K172" s="23"/>
      <c r="L172" s="23"/>
      <c r="M172" s="32"/>
      <c r="N172" s="32"/>
      <c r="O172" s="32"/>
      <c r="P172" s="23"/>
      <c r="Q172" s="77"/>
      <c r="R172" s="95"/>
      <c r="S172" s="54"/>
      <c r="T172" s="84"/>
      <c r="U172" s="33"/>
      <c r="V172" s="23"/>
      <c r="W172" s="31"/>
      <c r="X172" s="31"/>
      <c r="Y172" s="65"/>
    </row>
    <row r="173" ht="22.5" customHeight="1">
      <c r="A173" s="20"/>
      <c r="B173" s="20"/>
      <c r="C173" s="21"/>
      <c r="D173" s="20"/>
      <c r="E173" s="20"/>
      <c r="F173" s="20"/>
      <c r="G173" s="23"/>
      <c r="H173" s="23"/>
      <c r="I173" s="77"/>
      <c r="J173" s="23"/>
      <c r="K173" s="23"/>
      <c r="L173" s="23"/>
      <c r="M173" s="32"/>
      <c r="N173" s="32"/>
      <c r="O173" s="32"/>
      <c r="P173" s="23"/>
      <c r="Q173" s="77"/>
      <c r="R173" s="95"/>
      <c r="S173" s="54"/>
      <c r="T173" s="84"/>
      <c r="U173" s="33"/>
      <c r="V173" s="23"/>
      <c r="W173" s="31"/>
      <c r="X173" s="31"/>
      <c r="Y173" s="65"/>
    </row>
    <row r="174" ht="22.5" customHeight="1">
      <c r="A174" s="20"/>
      <c r="B174" s="20"/>
      <c r="C174" s="21"/>
      <c r="D174" s="20"/>
      <c r="E174" s="20"/>
      <c r="F174" s="20"/>
      <c r="G174" s="23"/>
      <c r="H174" s="23"/>
      <c r="I174" s="77"/>
      <c r="J174" s="23"/>
      <c r="K174" s="23"/>
      <c r="L174" s="23"/>
      <c r="M174" s="32"/>
      <c r="N174" s="32"/>
      <c r="O174" s="32"/>
      <c r="P174" s="23"/>
      <c r="Q174" s="77"/>
      <c r="R174" s="95"/>
      <c r="S174" s="54"/>
      <c r="T174" s="84"/>
      <c r="U174" s="33"/>
      <c r="V174" s="23"/>
      <c r="W174" s="31"/>
      <c r="X174" s="31"/>
      <c r="Y174" s="65"/>
    </row>
    <row r="175" ht="22.5" customHeight="1">
      <c r="A175" s="20"/>
      <c r="B175" s="20"/>
      <c r="C175" s="21"/>
      <c r="D175" s="20"/>
      <c r="E175" s="20"/>
      <c r="F175" s="20"/>
      <c r="G175" s="23"/>
      <c r="H175" s="23"/>
      <c r="I175" s="77"/>
      <c r="J175" s="23"/>
      <c r="K175" s="23"/>
      <c r="L175" s="23"/>
      <c r="M175" s="32"/>
      <c r="N175" s="32"/>
      <c r="O175" s="32"/>
      <c r="P175" s="23"/>
      <c r="Q175" s="77"/>
      <c r="R175" s="95"/>
      <c r="S175" s="54"/>
      <c r="T175" s="84"/>
      <c r="U175" s="33"/>
      <c r="V175" s="23"/>
      <c r="W175" s="31"/>
      <c r="X175" s="31"/>
      <c r="Y175" s="65"/>
    </row>
    <row r="176" ht="22.5" customHeight="1">
      <c r="A176" s="20"/>
      <c r="B176" s="20"/>
      <c r="C176" s="21"/>
      <c r="D176" s="20"/>
      <c r="E176" s="20"/>
      <c r="F176" s="20"/>
      <c r="G176" s="23"/>
      <c r="H176" s="23"/>
      <c r="I176" s="77"/>
      <c r="J176" s="23"/>
      <c r="K176" s="23"/>
      <c r="L176" s="23"/>
      <c r="M176" s="32"/>
      <c r="N176" s="32"/>
      <c r="O176" s="32"/>
      <c r="P176" s="23"/>
      <c r="Q176" s="77"/>
      <c r="R176" s="95"/>
      <c r="S176" s="54"/>
      <c r="T176" s="84"/>
      <c r="U176" s="33"/>
      <c r="V176" s="23"/>
      <c r="W176" s="31"/>
      <c r="X176" s="31"/>
      <c r="Y176" s="65"/>
    </row>
    <row r="177" ht="22.5" customHeight="1">
      <c r="A177" s="20"/>
      <c r="B177" s="20"/>
      <c r="C177" s="21"/>
      <c r="D177" s="20"/>
      <c r="E177" s="20"/>
      <c r="F177" s="20"/>
      <c r="G177" s="23"/>
      <c r="H177" s="23"/>
      <c r="I177" s="77"/>
      <c r="J177" s="23"/>
      <c r="K177" s="23"/>
      <c r="L177" s="23"/>
      <c r="M177" s="32"/>
      <c r="N177" s="32"/>
      <c r="O177" s="32"/>
      <c r="P177" s="23"/>
      <c r="Q177" s="77"/>
      <c r="R177" s="95"/>
      <c r="S177" s="54"/>
      <c r="T177" s="84"/>
      <c r="U177" s="33"/>
      <c r="V177" s="23"/>
      <c r="W177" s="31"/>
      <c r="X177" s="31"/>
      <c r="Y177" s="65"/>
    </row>
    <row r="178" ht="22.5" customHeight="1">
      <c r="A178" s="20"/>
      <c r="B178" s="20"/>
      <c r="C178" s="21"/>
      <c r="D178" s="20"/>
      <c r="E178" s="20"/>
      <c r="F178" s="20"/>
      <c r="G178" s="23"/>
      <c r="H178" s="23"/>
      <c r="I178" s="77"/>
      <c r="J178" s="23"/>
      <c r="K178" s="23"/>
      <c r="L178" s="23"/>
      <c r="M178" s="32"/>
      <c r="N178" s="32"/>
      <c r="O178" s="32"/>
      <c r="P178" s="23"/>
      <c r="Q178" s="77"/>
      <c r="R178" s="95"/>
      <c r="S178" s="54"/>
      <c r="T178" s="84"/>
      <c r="U178" s="33"/>
      <c r="V178" s="23"/>
      <c r="W178" s="31"/>
      <c r="X178" s="31"/>
      <c r="Y178" s="65"/>
    </row>
    <row r="179" ht="22.5" customHeight="1">
      <c r="A179" s="20"/>
      <c r="B179" s="20"/>
      <c r="C179" s="21"/>
      <c r="D179" s="20"/>
      <c r="E179" s="20"/>
      <c r="F179" s="20"/>
      <c r="G179" s="23"/>
      <c r="H179" s="23"/>
      <c r="I179" s="77"/>
      <c r="J179" s="23"/>
      <c r="K179" s="23"/>
      <c r="L179" s="23"/>
      <c r="M179" s="32"/>
      <c r="N179" s="32"/>
      <c r="O179" s="32"/>
      <c r="P179" s="23"/>
      <c r="Q179" s="77"/>
      <c r="R179" s="95"/>
      <c r="S179" s="54"/>
      <c r="T179" s="84"/>
      <c r="U179" s="33"/>
      <c r="V179" s="23"/>
      <c r="W179" s="31"/>
      <c r="X179" s="31"/>
      <c r="Y179" s="65"/>
    </row>
    <row r="180" ht="22.5" customHeight="1">
      <c r="A180" s="20"/>
      <c r="B180" s="20"/>
      <c r="C180" s="21"/>
      <c r="D180" s="20"/>
      <c r="E180" s="20"/>
      <c r="F180" s="20"/>
      <c r="G180" s="23"/>
      <c r="H180" s="23"/>
      <c r="I180" s="77"/>
      <c r="J180" s="23"/>
      <c r="K180" s="23"/>
      <c r="L180" s="23"/>
      <c r="M180" s="32"/>
      <c r="N180" s="32"/>
      <c r="O180" s="32"/>
      <c r="P180" s="23"/>
      <c r="Q180" s="77"/>
      <c r="R180" s="95"/>
      <c r="S180" s="54"/>
      <c r="T180" s="84"/>
      <c r="U180" s="33"/>
      <c r="V180" s="23"/>
      <c r="W180" s="31"/>
      <c r="X180" s="31"/>
      <c r="Y180" s="65"/>
    </row>
    <row r="181" ht="22.5" customHeight="1">
      <c r="A181" s="20"/>
      <c r="B181" s="20"/>
      <c r="C181" s="21"/>
      <c r="D181" s="20"/>
      <c r="E181" s="20"/>
      <c r="F181" s="20"/>
      <c r="G181" s="23"/>
      <c r="H181" s="23"/>
      <c r="I181" s="77"/>
      <c r="J181" s="23"/>
      <c r="K181" s="23"/>
      <c r="L181" s="23"/>
      <c r="M181" s="32"/>
      <c r="N181" s="32"/>
      <c r="O181" s="32"/>
      <c r="P181" s="23"/>
      <c r="Q181" s="77"/>
      <c r="R181" s="95"/>
      <c r="S181" s="54"/>
      <c r="T181" s="84"/>
      <c r="U181" s="33"/>
      <c r="V181" s="23"/>
      <c r="W181" s="31"/>
      <c r="X181" s="31"/>
      <c r="Y181" s="65"/>
    </row>
    <row r="182" ht="22.5" customHeight="1">
      <c r="A182" s="20"/>
      <c r="B182" s="20"/>
      <c r="C182" s="21"/>
      <c r="D182" s="20"/>
      <c r="E182" s="20"/>
      <c r="F182" s="20"/>
      <c r="G182" s="23"/>
      <c r="H182" s="23"/>
      <c r="I182" s="77"/>
      <c r="J182" s="23"/>
      <c r="K182" s="23"/>
      <c r="L182" s="23"/>
      <c r="M182" s="32"/>
      <c r="N182" s="32"/>
      <c r="O182" s="32"/>
      <c r="P182" s="23"/>
      <c r="Q182" s="77"/>
      <c r="R182" s="95"/>
      <c r="S182" s="54"/>
      <c r="T182" s="84"/>
      <c r="U182" s="33"/>
      <c r="V182" s="23"/>
      <c r="W182" s="31"/>
      <c r="X182" s="31"/>
      <c r="Y182" s="65"/>
    </row>
    <row r="183" ht="22.5" customHeight="1">
      <c r="A183" s="20"/>
      <c r="B183" s="20"/>
      <c r="C183" s="21"/>
      <c r="D183" s="20"/>
      <c r="E183" s="20"/>
      <c r="F183" s="20"/>
      <c r="G183" s="23"/>
      <c r="H183" s="23"/>
      <c r="I183" s="77"/>
      <c r="J183" s="23"/>
      <c r="K183" s="23"/>
      <c r="L183" s="23"/>
      <c r="M183" s="32"/>
      <c r="N183" s="32"/>
      <c r="O183" s="32"/>
      <c r="P183" s="23"/>
      <c r="Q183" s="77"/>
      <c r="R183" s="95"/>
      <c r="S183" s="54"/>
      <c r="T183" s="84"/>
      <c r="U183" s="33"/>
      <c r="V183" s="23"/>
      <c r="W183" s="31"/>
      <c r="X183" s="31"/>
      <c r="Y183" s="65"/>
    </row>
    <row r="184" ht="22.5" customHeight="1">
      <c r="A184" s="20"/>
      <c r="B184" s="20"/>
      <c r="C184" s="21"/>
      <c r="D184" s="20"/>
      <c r="E184" s="20"/>
      <c r="F184" s="20"/>
      <c r="G184" s="23"/>
      <c r="H184" s="23"/>
      <c r="I184" s="77"/>
      <c r="J184" s="23"/>
      <c r="K184" s="23"/>
      <c r="L184" s="23"/>
      <c r="M184" s="32"/>
      <c r="N184" s="32"/>
      <c r="O184" s="32"/>
      <c r="P184" s="23"/>
      <c r="Q184" s="77"/>
      <c r="R184" s="95"/>
      <c r="S184" s="54"/>
      <c r="T184" s="84"/>
      <c r="U184" s="33"/>
      <c r="V184" s="23"/>
      <c r="W184" s="31"/>
      <c r="X184" s="31"/>
      <c r="Y184" s="65"/>
    </row>
    <row r="185" ht="22.5" customHeight="1">
      <c r="A185" s="20"/>
      <c r="B185" s="20"/>
      <c r="C185" s="21"/>
      <c r="D185" s="20"/>
      <c r="E185" s="20"/>
      <c r="F185" s="20"/>
      <c r="G185" s="23"/>
      <c r="H185" s="23"/>
      <c r="I185" s="77"/>
      <c r="J185" s="23"/>
      <c r="K185" s="23"/>
      <c r="L185" s="23"/>
      <c r="M185" s="32"/>
      <c r="N185" s="32"/>
      <c r="O185" s="32"/>
      <c r="P185" s="23"/>
      <c r="Q185" s="77"/>
      <c r="R185" s="95"/>
      <c r="S185" s="54"/>
      <c r="T185" s="84"/>
      <c r="U185" s="33"/>
      <c r="V185" s="23"/>
      <c r="W185" s="31"/>
      <c r="X185" s="31"/>
      <c r="Y185" s="65"/>
    </row>
    <row r="186" ht="22.5" customHeight="1">
      <c r="A186" s="20"/>
      <c r="B186" s="20"/>
      <c r="C186" s="21"/>
      <c r="D186" s="20"/>
      <c r="E186" s="20"/>
      <c r="F186" s="20"/>
      <c r="G186" s="23"/>
      <c r="H186" s="23"/>
      <c r="I186" s="77"/>
      <c r="J186" s="23"/>
      <c r="K186" s="23"/>
      <c r="L186" s="23"/>
      <c r="M186" s="32"/>
      <c r="N186" s="32"/>
      <c r="O186" s="32"/>
      <c r="P186" s="23"/>
      <c r="Q186" s="77"/>
      <c r="R186" s="95"/>
      <c r="S186" s="54"/>
      <c r="T186" s="84"/>
      <c r="U186" s="33"/>
      <c r="V186" s="23"/>
      <c r="W186" s="31"/>
      <c r="X186" s="31"/>
      <c r="Y186" s="65"/>
    </row>
    <row r="187" ht="22.5" customHeight="1">
      <c r="A187" s="20"/>
      <c r="B187" s="20"/>
      <c r="C187" s="21"/>
      <c r="D187" s="20"/>
      <c r="E187" s="20"/>
      <c r="F187" s="20"/>
      <c r="G187" s="23"/>
      <c r="H187" s="23"/>
      <c r="I187" s="77"/>
      <c r="J187" s="23"/>
      <c r="K187" s="23"/>
      <c r="L187" s="23"/>
      <c r="M187" s="32"/>
      <c r="N187" s="32"/>
      <c r="O187" s="32"/>
      <c r="P187" s="23"/>
      <c r="Q187" s="77"/>
      <c r="R187" s="95"/>
      <c r="S187" s="54"/>
      <c r="T187" s="84"/>
      <c r="U187" s="33"/>
      <c r="V187" s="23"/>
      <c r="W187" s="31"/>
      <c r="X187" s="31"/>
      <c r="Y187" s="65"/>
    </row>
    <row r="188" ht="22.5" customHeight="1">
      <c r="A188" s="20"/>
      <c r="B188" s="20"/>
      <c r="C188" s="21"/>
      <c r="D188" s="20"/>
      <c r="E188" s="20"/>
      <c r="F188" s="20"/>
      <c r="G188" s="23"/>
      <c r="H188" s="23"/>
      <c r="I188" s="77"/>
      <c r="J188" s="23"/>
      <c r="K188" s="23"/>
      <c r="L188" s="23"/>
      <c r="M188" s="32"/>
      <c r="N188" s="32"/>
      <c r="O188" s="32"/>
      <c r="P188" s="23"/>
      <c r="Q188" s="77"/>
      <c r="R188" s="95"/>
      <c r="S188" s="54"/>
      <c r="T188" s="84"/>
      <c r="U188" s="33"/>
      <c r="V188" s="23"/>
      <c r="W188" s="31"/>
      <c r="X188" s="31"/>
      <c r="Y188" s="65"/>
    </row>
    <row r="189" ht="22.5" customHeight="1">
      <c r="A189" s="20"/>
      <c r="B189" s="20"/>
      <c r="C189" s="21"/>
      <c r="D189" s="20"/>
      <c r="E189" s="20"/>
      <c r="F189" s="20"/>
      <c r="G189" s="23"/>
      <c r="H189" s="23"/>
      <c r="I189" s="77"/>
      <c r="J189" s="23"/>
      <c r="K189" s="23"/>
      <c r="L189" s="23"/>
      <c r="M189" s="32"/>
      <c r="N189" s="32"/>
      <c r="O189" s="32"/>
      <c r="P189" s="23"/>
      <c r="Q189" s="77"/>
      <c r="R189" s="95"/>
      <c r="S189" s="54"/>
      <c r="T189" s="84"/>
      <c r="U189" s="33"/>
      <c r="V189" s="23"/>
      <c r="W189" s="31"/>
      <c r="X189" s="31"/>
      <c r="Y189" s="65"/>
    </row>
    <row r="190" ht="22.5" customHeight="1">
      <c r="A190" s="20"/>
      <c r="B190" s="20"/>
      <c r="C190" s="21"/>
      <c r="D190" s="20"/>
      <c r="E190" s="20"/>
      <c r="F190" s="20"/>
      <c r="G190" s="23"/>
      <c r="H190" s="23"/>
      <c r="I190" s="77"/>
      <c r="J190" s="23"/>
      <c r="K190" s="23"/>
      <c r="L190" s="23"/>
      <c r="M190" s="32"/>
      <c r="N190" s="32"/>
      <c r="O190" s="32"/>
      <c r="P190" s="23"/>
      <c r="Q190" s="77"/>
      <c r="R190" s="95"/>
      <c r="S190" s="54"/>
      <c r="T190" s="84"/>
      <c r="U190" s="33"/>
      <c r="V190" s="23"/>
      <c r="W190" s="31"/>
      <c r="X190" s="31"/>
      <c r="Y190" s="65"/>
    </row>
    <row r="191" ht="22.5" customHeight="1">
      <c r="A191" s="20"/>
      <c r="B191" s="20"/>
      <c r="C191" s="21"/>
      <c r="D191" s="20"/>
      <c r="E191" s="20"/>
      <c r="F191" s="20"/>
      <c r="G191" s="23"/>
      <c r="H191" s="23"/>
      <c r="I191" s="77"/>
      <c r="J191" s="23"/>
      <c r="K191" s="23"/>
      <c r="L191" s="23"/>
      <c r="M191" s="32"/>
      <c r="N191" s="32"/>
      <c r="O191" s="32"/>
      <c r="P191" s="23"/>
      <c r="Q191" s="77"/>
      <c r="R191" s="95"/>
      <c r="S191" s="54"/>
      <c r="T191" s="84"/>
      <c r="U191" s="33"/>
      <c r="V191" s="23"/>
      <c r="W191" s="31"/>
      <c r="X191" s="31"/>
      <c r="Y191" s="65"/>
    </row>
    <row r="192" ht="22.5" customHeight="1">
      <c r="A192" s="20"/>
      <c r="B192" s="20"/>
      <c r="C192" s="21"/>
      <c r="D192" s="20"/>
      <c r="E192" s="20"/>
      <c r="F192" s="20"/>
      <c r="G192" s="23"/>
      <c r="H192" s="23"/>
      <c r="I192" s="77"/>
      <c r="J192" s="23"/>
      <c r="K192" s="23"/>
      <c r="L192" s="23"/>
      <c r="M192" s="32"/>
      <c r="N192" s="32"/>
      <c r="O192" s="32"/>
      <c r="P192" s="23"/>
      <c r="Q192" s="77"/>
      <c r="R192" s="95"/>
      <c r="S192" s="54"/>
      <c r="T192" s="84"/>
      <c r="U192" s="33"/>
      <c r="V192" s="23"/>
      <c r="W192" s="31"/>
      <c r="X192" s="31"/>
      <c r="Y192" s="65"/>
    </row>
    <row r="193" ht="22.5" customHeight="1">
      <c r="A193" s="20"/>
      <c r="B193" s="20"/>
      <c r="C193" s="21"/>
      <c r="D193" s="20"/>
      <c r="E193" s="20"/>
      <c r="F193" s="20"/>
      <c r="G193" s="23"/>
      <c r="H193" s="23"/>
      <c r="I193" s="77"/>
      <c r="J193" s="23"/>
      <c r="K193" s="23"/>
      <c r="L193" s="23"/>
      <c r="M193" s="32"/>
      <c r="N193" s="32"/>
      <c r="O193" s="32"/>
      <c r="P193" s="23"/>
      <c r="Q193" s="77"/>
      <c r="R193" s="95"/>
      <c r="S193" s="54"/>
      <c r="T193" s="84"/>
      <c r="U193" s="33"/>
      <c r="V193" s="23"/>
      <c r="W193" s="31"/>
      <c r="X193" s="31"/>
      <c r="Y193" s="65"/>
    </row>
    <row r="194" ht="22.5" customHeight="1">
      <c r="A194" s="20"/>
      <c r="B194" s="20"/>
      <c r="C194" s="21"/>
      <c r="D194" s="20"/>
      <c r="E194" s="20"/>
      <c r="F194" s="20"/>
      <c r="G194" s="23"/>
      <c r="H194" s="23"/>
      <c r="I194" s="77"/>
      <c r="J194" s="23"/>
      <c r="K194" s="23"/>
      <c r="L194" s="23"/>
      <c r="M194" s="32"/>
      <c r="N194" s="32"/>
      <c r="O194" s="32"/>
      <c r="P194" s="23"/>
      <c r="Q194" s="77"/>
      <c r="R194" s="95"/>
      <c r="S194" s="54"/>
      <c r="T194" s="84"/>
      <c r="U194" s="33"/>
      <c r="V194" s="23"/>
      <c r="W194" s="31"/>
      <c r="X194" s="31"/>
      <c r="Y194" s="65"/>
    </row>
    <row r="195" ht="22.5" customHeight="1">
      <c r="A195" s="20"/>
      <c r="B195" s="20"/>
      <c r="C195" s="21"/>
      <c r="D195" s="20"/>
      <c r="E195" s="20"/>
      <c r="F195" s="20"/>
      <c r="G195" s="23"/>
      <c r="H195" s="23"/>
      <c r="I195" s="77"/>
      <c r="J195" s="23"/>
      <c r="K195" s="23"/>
      <c r="L195" s="23"/>
      <c r="M195" s="32"/>
      <c r="N195" s="32"/>
      <c r="O195" s="32"/>
      <c r="P195" s="23"/>
      <c r="Q195" s="77"/>
      <c r="R195" s="95"/>
      <c r="S195" s="54"/>
      <c r="T195" s="84"/>
      <c r="U195" s="33"/>
      <c r="V195" s="23"/>
      <c r="W195" s="31"/>
      <c r="X195" s="31"/>
      <c r="Y195" s="65"/>
    </row>
    <row r="196" ht="22.5" customHeight="1">
      <c r="A196" s="20"/>
      <c r="B196" s="20"/>
      <c r="C196" s="21"/>
      <c r="D196" s="20"/>
      <c r="E196" s="20"/>
      <c r="F196" s="20"/>
      <c r="G196" s="23"/>
      <c r="H196" s="23"/>
      <c r="I196" s="77"/>
      <c r="J196" s="23"/>
      <c r="K196" s="23"/>
      <c r="L196" s="23"/>
      <c r="M196" s="32"/>
      <c r="N196" s="32"/>
      <c r="O196" s="32"/>
      <c r="P196" s="23"/>
      <c r="Q196" s="77"/>
      <c r="R196" s="95"/>
      <c r="S196" s="54"/>
      <c r="T196" s="84"/>
      <c r="U196" s="33"/>
      <c r="V196" s="23"/>
      <c r="W196" s="31"/>
      <c r="X196" s="31"/>
      <c r="Y196" s="65"/>
    </row>
    <row r="197" ht="22.5" customHeight="1">
      <c r="A197" s="20"/>
      <c r="B197" s="20"/>
      <c r="C197" s="21"/>
      <c r="D197" s="20"/>
      <c r="E197" s="20"/>
      <c r="F197" s="20"/>
      <c r="G197" s="23"/>
      <c r="H197" s="23"/>
      <c r="I197" s="77"/>
      <c r="J197" s="23"/>
      <c r="K197" s="23"/>
      <c r="L197" s="23"/>
      <c r="M197" s="32"/>
      <c r="N197" s="32"/>
      <c r="O197" s="32"/>
      <c r="P197" s="23"/>
      <c r="Q197" s="77"/>
      <c r="R197" s="95"/>
      <c r="S197" s="54"/>
      <c r="T197" s="84"/>
      <c r="U197" s="33"/>
      <c r="V197" s="23"/>
      <c r="W197" s="31"/>
      <c r="X197" s="31"/>
      <c r="Y197" s="65"/>
    </row>
    <row r="198" ht="22.5" customHeight="1">
      <c r="A198" s="20"/>
      <c r="B198" s="20"/>
      <c r="C198" s="21"/>
      <c r="D198" s="20"/>
      <c r="E198" s="20"/>
      <c r="F198" s="20"/>
      <c r="G198" s="23"/>
      <c r="H198" s="23"/>
      <c r="I198" s="77"/>
      <c r="J198" s="23"/>
      <c r="K198" s="23"/>
      <c r="L198" s="23"/>
      <c r="M198" s="32"/>
      <c r="N198" s="32"/>
      <c r="O198" s="32"/>
      <c r="P198" s="23"/>
      <c r="Q198" s="77"/>
      <c r="R198" s="95"/>
      <c r="S198" s="54"/>
      <c r="T198" s="84"/>
      <c r="U198" s="33"/>
      <c r="V198" s="23"/>
      <c r="W198" s="31"/>
      <c r="X198" s="31"/>
      <c r="Y198" s="65"/>
    </row>
    <row r="199" ht="22.5" customHeight="1">
      <c r="A199" s="20"/>
      <c r="B199" s="20"/>
      <c r="C199" s="21"/>
      <c r="D199" s="20"/>
      <c r="E199" s="20"/>
      <c r="F199" s="20"/>
      <c r="G199" s="23"/>
      <c r="H199" s="23"/>
      <c r="I199" s="77"/>
      <c r="J199" s="23"/>
      <c r="K199" s="23"/>
      <c r="L199" s="23"/>
      <c r="M199" s="32"/>
      <c r="N199" s="32"/>
      <c r="O199" s="32"/>
      <c r="P199" s="23"/>
      <c r="Q199" s="77"/>
      <c r="R199" s="95"/>
      <c r="S199" s="54"/>
      <c r="T199" s="84"/>
      <c r="U199" s="33"/>
      <c r="V199" s="23"/>
      <c r="W199" s="31"/>
      <c r="X199" s="31"/>
      <c r="Y199" s="65"/>
    </row>
    <row r="200" ht="22.5" customHeight="1">
      <c r="A200" s="20"/>
      <c r="B200" s="20"/>
      <c r="C200" s="21"/>
      <c r="D200" s="20"/>
      <c r="E200" s="20"/>
      <c r="F200" s="20"/>
      <c r="G200" s="23"/>
      <c r="H200" s="23"/>
      <c r="I200" s="77"/>
      <c r="J200" s="23"/>
      <c r="K200" s="23"/>
      <c r="L200" s="23"/>
      <c r="M200" s="32"/>
      <c r="N200" s="32"/>
      <c r="O200" s="32"/>
      <c r="P200" s="23"/>
      <c r="Q200" s="77"/>
      <c r="R200" s="95"/>
      <c r="S200" s="54"/>
      <c r="T200" s="84"/>
      <c r="U200" s="33"/>
      <c r="V200" s="23"/>
      <c r="W200" s="31"/>
      <c r="X200" s="31"/>
      <c r="Y200" s="65"/>
    </row>
    <row r="201" ht="22.5" customHeight="1">
      <c r="A201" s="20"/>
      <c r="B201" s="20"/>
      <c r="C201" s="21"/>
      <c r="D201" s="20"/>
      <c r="E201" s="20"/>
      <c r="F201" s="20"/>
      <c r="G201" s="23"/>
      <c r="H201" s="23"/>
      <c r="I201" s="77"/>
      <c r="J201" s="23"/>
      <c r="K201" s="23"/>
      <c r="L201" s="23"/>
      <c r="M201" s="32"/>
      <c r="N201" s="32"/>
      <c r="O201" s="32"/>
      <c r="P201" s="23"/>
      <c r="Q201" s="77"/>
      <c r="R201" s="95"/>
      <c r="S201" s="54"/>
      <c r="T201" s="84"/>
      <c r="U201" s="33"/>
      <c r="V201" s="23"/>
      <c r="W201" s="31"/>
      <c r="X201" s="31"/>
      <c r="Y201" s="65"/>
    </row>
    <row r="202" ht="22.5" customHeight="1">
      <c r="A202" s="20"/>
      <c r="B202" s="20"/>
      <c r="C202" s="21"/>
      <c r="D202" s="20"/>
      <c r="E202" s="20"/>
      <c r="F202" s="20"/>
      <c r="G202" s="23"/>
      <c r="H202" s="23"/>
      <c r="I202" s="77"/>
      <c r="J202" s="23"/>
      <c r="K202" s="23"/>
      <c r="L202" s="23"/>
      <c r="M202" s="32"/>
      <c r="N202" s="32"/>
      <c r="O202" s="32"/>
      <c r="P202" s="23"/>
      <c r="Q202" s="77"/>
      <c r="R202" s="95"/>
      <c r="S202" s="54"/>
      <c r="T202" s="84"/>
      <c r="U202" s="33"/>
      <c r="V202" s="23"/>
      <c r="W202" s="31"/>
      <c r="X202" s="31"/>
      <c r="Y202" s="65"/>
    </row>
    <row r="203" ht="22.5" customHeight="1">
      <c r="A203" s="20"/>
      <c r="B203" s="20"/>
      <c r="C203" s="21"/>
      <c r="D203" s="20"/>
      <c r="E203" s="20"/>
      <c r="F203" s="20"/>
      <c r="G203" s="23"/>
      <c r="H203" s="23"/>
      <c r="I203" s="77"/>
      <c r="J203" s="23"/>
      <c r="K203" s="23"/>
      <c r="L203" s="23"/>
      <c r="M203" s="32"/>
      <c r="N203" s="32"/>
      <c r="O203" s="32"/>
      <c r="P203" s="23"/>
      <c r="Q203" s="77"/>
      <c r="R203" s="95"/>
      <c r="S203" s="54"/>
      <c r="T203" s="84"/>
      <c r="U203" s="33"/>
      <c r="V203" s="23"/>
      <c r="W203" s="31"/>
      <c r="X203" s="31"/>
      <c r="Y203" s="65"/>
    </row>
    <row r="204" ht="22.5" customHeight="1">
      <c r="A204" s="20"/>
      <c r="B204" s="20"/>
      <c r="C204" s="21"/>
      <c r="D204" s="20"/>
      <c r="E204" s="20"/>
      <c r="F204" s="20"/>
      <c r="G204" s="23"/>
      <c r="H204" s="23"/>
      <c r="I204" s="77"/>
      <c r="J204" s="23"/>
      <c r="K204" s="23"/>
      <c r="L204" s="23"/>
      <c r="M204" s="32"/>
      <c r="N204" s="32"/>
      <c r="O204" s="32"/>
      <c r="P204" s="23"/>
      <c r="Q204" s="77"/>
      <c r="R204" s="95"/>
      <c r="S204" s="54"/>
      <c r="T204" s="84"/>
      <c r="U204" s="33"/>
      <c r="V204" s="23"/>
      <c r="W204" s="31"/>
      <c r="X204" s="31"/>
      <c r="Y204" s="65"/>
    </row>
    <row r="205" ht="22.5" customHeight="1">
      <c r="A205" s="20"/>
      <c r="B205" s="20"/>
      <c r="C205" s="21"/>
      <c r="D205" s="20"/>
      <c r="E205" s="20"/>
      <c r="F205" s="20"/>
      <c r="G205" s="23"/>
      <c r="H205" s="23"/>
      <c r="I205" s="77"/>
      <c r="J205" s="23"/>
      <c r="K205" s="23"/>
      <c r="L205" s="23"/>
      <c r="M205" s="32"/>
      <c r="N205" s="32"/>
      <c r="O205" s="32"/>
      <c r="P205" s="23"/>
      <c r="Q205" s="77"/>
      <c r="R205" s="95"/>
      <c r="S205" s="54"/>
      <c r="T205" s="84"/>
      <c r="U205" s="33"/>
      <c r="V205" s="23"/>
      <c r="W205" s="31"/>
      <c r="X205" s="31"/>
      <c r="Y205" s="65"/>
    </row>
    <row r="206" ht="22.5" customHeight="1">
      <c r="A206" s="20"/>
      <c r="B206" s="20"/>
      <c r="C206" s="21"/>
      <c r="D206" s="20"/>
      <c r="E206" s="20"/>
      <c r="F206" s="20"/>
      <c r="G206" s="23"/>
      <c r="H206" s="23"/>
      <c r="I206" s="77"/>
      <c r="J206" s="23"/>
      <c r="K206" s="23"/>
      <c r="L206" s="23"/>
      <c r="M206" s="32"/>
      <c r="N206" s="32"/>
      <c r="O206" s="32"/>
      <c r="P206" s="23"/>
      <c r="Q206" s="77"/>
      <c r="R206" s="95"/>
      <c r="S206" s="54"/>
      <c r="T206" s="84"/>
      <c r="U206" s="33"/>
      <c r="V206" s="23"/>
      <c r="W206" s="31"/>
      <c r="X206" s="31"/>
      <c r="Y206" s="65"/>
    </row>
    <row r="207" ht="22.5" customHeight="1">
      <c r="A207" s="20"/>
      <c r="B207" s="20"/>
      <c r="C207" s="21"/>
      <c r="D207" s="20"/>
      <c r="E207" s="20"/>
      <c r="F207" s="20"/>
      <c r="G207" s="23"/>
      <c r="H207" s="23"/>
      <c r="I207" s="77"/>
      <c r="J207" s="23"/>
      <c r="K207" s="23"/>
      <c r="L207" s="23"/>
      <c r="M207" s="32"/>
      <c r="N207" s="32"/>
      <c r="O207" s="32"/>
      <c r="P207" s="23"/>
      <c r="Q207" s="77"/>
      <c r="R207" s="95"/>
      <c r="S207" s="54"/>
      <c r="T207" s="84"/>
      <c r="U207" s="33"/>
      <c r="V207" s="23"/>
      <c r="W207" s="31"/>
      <c r="X207" s="31"/>
      <c r="Y207" s="65"/>
    </row>
    <row r="208" ht="22.5" customHeight="1">
      <c r="A208" s="20"/>
      <c r="B208" s="20"/>
      <c r="C208" s="21"/>
      <c r="D208" s="20"/>
      <c r="E208" s="20"/>
      <c r="F208" s="20"/>
      <c r="G208" s="23"/>
      <c r="H208" s="23"/>
      <c r="I208" s="77"/>
      <c r="J208" s="23"/>
      <c r="K208" s="23"/>
      <c r="L208" s="23"/>
      <c r="M208" s="32"/>
      <c r="N208" s="32"/>
      <c r="O208" s="32"/>
      <c r="P208" s="23"/>
      <c r="Q208" s="77"/>
      <c r="R208" s="95"/>
      <c r="S208" s="54"/>
      <c r="T208" s="84"/>
      <c r="U208" s="33"/>
      <c r="V208" s="23"/>
      <c r="W208" s="31"/>
      <c r="X208" s="31"/>
      <c r="Y208" s="65"/>
    </row>
    <row r="209" ht="22.5" customHeight="1">
      <c r="A209" s="20"/>
      <c r="B209" s="20"/>
      <c r="C209" s="21"/>
      <c r="D209" s="20"/>
      <c r="E209" s="20"/>
      <c r="F209" s="20"/>
      <c r="G209" s="23"/>
      <c r="H209" s="23"/>
      <c r="I209" s="77"/>
      <c r="J209" s="23"/>
      <c r="K209" s="23"/>
      <c r="L209" s="23"/>
      <c r="M209" s="32"/>
      <c r="N209" s="32"/>
      <c r="O209" s="32"/>
      <c r="P209" s="23"/>
      <c r="Q209" s="77"/>
      <c r="R209" s="95"/>
      <c r="S209" s="54"/>
      <c r="T209" s="84"/>
      <c r="U209" s="33"/>
      <c r="V209" s="23"/>
      <c r="W209" s="31"/>
      <c r="X209" s="31"/>
      <c r="Y209" s="65"/>
    </row>
    <row r="210" ht="22.5" customHeight="1">
      <c r="A210" s="20"/>
      <c r="B210" s="20"/>
      <c r="C210" s="21"/>
      <c r="D210" s="20"/>
      <c r="E210" s="20"/>
      <c r="F210" s="20"/>
      <c r="G210" s="23"/>
      <c r="H210" s="23"/>
      <c r="I210" s="77"/>
      <c r="J210" s="23"/>
      <c r="K210" s="23"/>
      <c r="L210" s="23"/>
      <c r="M210" s="32"/>
      <c r="N210" s="32"/>
      <c r="O210" s="32"/>
      <c r="P210" s="23"/>
      <c r="Q210" s="77"/>
      <c r="R210" s="95"/>
      <c r="S210" s="54"/>
      <c r="T210" s="84"/>
      <c r="U210" s="33"/>
      <c r="V210" s="23"/>
      <c r="W210" s="31"/>
      <c r="X210" s="31"/>
      <c r="Y210" s="65"/>
    </row>
    <row r="211" ht="22.5" customHeight="1">
      <c r="A211" s="20"/>
      <c r="B211" s="20"/>
      <c r="C211" s="21"/>
      <c r="D211" s="20"/>
      <c r="E211" s="20"/>
      <c r="F211" s="20"/>
      <c r="G211" s="23"/>
      <c r="H211" s="23"/>
      <c r="I211" s="77"/>
      <c r="J211" s="23"/>
      <c r="K211" s="23"/>
      <c r="L211" s="23"/>
      <c r="M211" s="32"/>
      <c r="N211" s="32"/>
      <c r="O211" s="32"/>
      <c r="P211" s="23"/>
      <c r="Q211" s="77"/>
      <c r="R211" s="95"/>
      <c r="S211" s="54"/>
      <c r="T211" s="84"/>
      <c r="U211" s="33"/>
      <c r="V211" s="23"/>
      <c r="W211" s="31"/>
      <c r="X211" s="31"/>
      <c r="Y211" s="65"/>
    </row>
    <row r="212" ht="22.5" customHeight="1">
      <c r="A212" s="20"/>
      <c r="B212" s="20"/>
      <c r="C212" s="21"/>
      <c r="D212" s="20"/>
      <c r="E212" s="20"/>
      <c r="F212" s="20"/>
      <c r="G212" s="23"/>
      <c r="H212" s="23"/>
      <c r="I212" s="77"/>
      <c r="J212" s="23"/>
      <c r="K212" s="23"/>
      <c r="L212" s="23"/>
      <c r="M212" s="32"/>
      <c r="N212" s="32"/>
      <c r="O212" s="32"/>
      <c r="P212" s="23"/>
      <c r="Q212" s="77"/>
      <c r="R212" s="95"/>
      <c r="S212" s="54"/>
      <c r="T212" s="84"/>
      <c r="U212" s="33"/>
      <c r="V212" s="23"/>
      <c r="W212" s="31"/>
      <c r="X212" s="31"/>
      <c r="Y212" s="65"/>
    </row>
    <row r="213" ht="22.5" customHeight="1">
      <c r="A213" s="20"/>
      <c r="B213" s="20"/>
      <c r="C213" s="21"/>
      <c r="D213" s="20"/>
      <c r="E213" s="20"/>
      <c r="F213" s="20"/>
      <c r="G213" s="23"/>
      <c r="H213" s="23"/>
      <c r="I213" s="77"/>
      <c r="J213" s="23"/>
      <c r="K213" s="23"/>
      <c r="L213" s="23"/>
      <c r="M213" s="32"/>
      <c r="N213" s="32"/>
      <c r="O213" s="32"/>
      <c r="P213" s="23"/>
      <c r="Q213" s="77"/>
      <c r="R213" s="95"/>
      <c r="S213" s="54"/>
      <c r="T213" s="84"/>
      <c r="U213" s="33"/>
      <c r="V213" s="23"/>
      <c r="W213" s="31"/>
      <c r="X213" s="31"/>
      <c r="Y213" s="65"/>
    </row>
    <row r="214" ht="22.5" customHeight="1">
      <c r="A214" s="20"/>
      <c r="B214" s="20"/>
      <c r="C214" s="21"/>
      <c r="D214" s="20"/>
      <c r="E214" s="20"/>
      <c r="F214" s="20"/>
      <c r="G214" s="23"/>
      <c r="H214" s="23"/>
      <c r="I214" s="77"/>
      <c r="J214" s="23"/>
      <c r="K214" s="23"/>
      <c r="L214" s="23"/>
      <c r="M214" s="32"/>
      <c r="N214" s="32"/>
      <c r="O214" s="32"/>
      <c r="P214" s="23"/>
      <c r="Q214" s="77"/>
      <c r="R214" s="95"/>
      <c r="S214" s="54"/>
      <c r="T214" s="84"/>
      <c r="U214" s="33"/>
      <c r="V214" s="23"/>
      <c r="W214" s="31"/>
      <c r="X214" s="31"/>
      <c r="Y214" s="65"/>
    </row>
    <row r="215" ht="22.5" customHeight="1">
      <c r="A215" s="20"/>
      <c r="B215" s="20"/>
      <c r="C215" s="21"/>
      <c r="D215" s="20"/>
      <c r="E215" s="20"/>
      <c r="F215" s="20"/>
      <c r="G215" s="23"/>
      <c r="H215" s="23"/>
      <c r="I215" s="77"/>
      <c r="J215" s="23"/>
      <c r="K215" s="23"/>
      <c r="L215" s="23"/>
      <c r="M215" s="32"/>
      <c r="N215" s="32"/>
      <c r="O215" s="32"/>
      <c r="P215" s="23"/>
      <c r="Q215" s="77"/>
      <c r="R215" s="95"/>
      <c r="S215" s="54"/>
      <c r="T215" s="84"/>
      <c r="U215" s="33"/>
      <c r="V215" s="23"/>
      <c r="W215" s="31"/>
      <c r="X215" s="31"/>
      <c r="Y215" s="65"/>
    </row>
    <row r="216" ht="22.5" customHeight="1">
      <c r="A216" s="20"/>
      <c r="B216" s="20"/>
      <c r="C216" s="21"/>
      <c r="D216" s="20"/>
      <c r="E216" s="20"/>
      <c r="F216" s="20"/>
      <c r="G216" s="23"/>
      <c r="H216" s="23"/>
      <c r="I216" s="77"/>
      <c r="J216" s="23"/>
      <c r="K216" s="23"/>
      <c r="L216" s="23"/>
      <c r="M216" s="32"/>
      <c r="N216" s="32"/>
      <c r="O216" s="32"/>
      <c r="P216" s="23"/>
      <c r="Q216" s="77"/>
      <c r="R216" s="95"/>
      <c r="S216" s="54"/>
      <c r="T216" s="84"/>
      <c r="U216" s="33"/>
      <c r="V216" s="23"/>
      <c r="W216" s="31"/>
      <c r="X216" s="31"/>
      <c r="Y216" s="65"/>
    </row>
    <row r="217" ht="22.5" customHeight="1">
      <c r="A217" s="20"/>
      <c r="B217" s="20"/>
      <c r="C217" s="21"/>
      <c r="D217" s="20"/>
      <c r="E217" s="20"/>
      <c r="F217" s="20"/>
      <c r="G217" s="23"/>
      <c r="H217" s="23"/>
      <c r="I217" s="77"/>
      <c r="J217" s="23"/>
      <c r="K217" s="23"/>
      <c r="L217" s="23"/>
      <c r="M217" s="32"/>
      <c r="N217" s="32"/>
      <c r="O217" s="32"/>
      <c r="P217" s="23"/>
      <c r="Q217" s="77"/>
      <c r="R217" s="95"/>
      <c r="S217" s="54"/>
      <c r="T217" s="84"/>
      <c r="U217" s="33"/>
      <c r="V217" s="23"/>
      <c r="W217" s="31"/>
      <c r="X217" s="31"/>
      <c r="Y217" s="65"/>
    </row>
    <row r="218" ht="22.5" customHeight="1">
      <c r="A218" s="20"/>
      <c r="B218" s="20"/>
      <c r="C218" s="21"/>
      <c r="D218" s="20"/>
      <c r="E218" s="20"/>
      <c r="F218" s="20"/>
      <c r="G218" s="23"/>
      <c r="H218" s="23"/>
      <c r="I218" s="77"/>
      <c r="J218" s="23"/>
      <c r="K218" s="23"/>
      <c r="L218" s="23"/>
      <c r="M218" s="32"/>
      <c r="N218" s="32"/>
      <c r="O218" s="32"/>
      <c r="P218" s="23"/>
      <c r="Q218" s="77"/>
      <c r="R218" s="95"/>
      <c r="S218" s="54"/>
      <c r="T218" s="84"/>
      <c r="U218" s="33"/>
      <c r="V218" s="23"/>
      <c r="W218" s="31"/>
      <c r="X218" s="31"/>
      <c r="Y218" s="65"/>
    </row>
    <row r="219" ht="22.5" customHeight="1">
      <c r="A219" s="20"/>
      <c r="B219" s="20"/>
      <c r="C219" s="21"/>
      <c r="D219" s="20"/>
      <c r="E219" s="20"/>
      <c r="F219" s="20"/>
      <c r="G219" s="23"/>
      <c r="H219" s="23"/>
      <c r="I219" s="77"/>
      <c r="J219" s="23"/>
      <c r="K219" s="23"/>
      <c r="L219" s="23"/>
      <c r="M219" s="32"/>
      <c r="N219" s="32"/>
      <c r="O219" s="32"/>
      <c r="P219" s="23"/>
      <c r="Q219" s="77"/>
      <c r="R219" s="95"/>
      <c r="S219" s="54"/>
      <c r="T219" s="84"/>
      <c r="U219" s="33"/>
      <c r="V219" s="23"/>
      <c r="W219" s="31"/>
      <c r="X219" s="31"/>
      <c r="Y219" s="65"/>
    </row>
    <row r="220" ht="22.5" customHeight="1">
      <c r="A220" s="20"/>
      <c r="B220" s="20"/>
      <c r="C220" s="21"/>
      <c r="D220" s="20"/>
      <c r="E220" s="20"/>
      <c r="F220" s="20"/>
      <c r="G220" s="23"/>
      <c r="H220" s="23"/>
      <c r="I220" s="77"/>
      <c r="J220" s="23"/>
      <c r="K220" s="23"/>
      <c r="L220" s="23"/>
      <c r="M220" s="32"/>
      <c r="N220" s="32"/>
      <c r="O220" s="32"/>
      <c r="P220" s="23"/>
      <c r="Q220" s="77"/>
      <c r="R220" s="95"/>
      <c r="S220" s="54"/>
      <c r="T220" s="84"/>
      <c r="U220" s="33"/>
      <c r="V220" s="23"/>
      <c r="W220" s="31"/>
      <c r="X220" s="31"/>
      <c r="Y220" s="65"/>
    </row>
    <row r="221" ht="22.5" customHeight="1">
      <c r="A221" s="20"/>
      <c r="B221" s="20"/>
      <c r="C221" s="21"/>
      <c r="D221" s="20"/>
      <c r="E221" s="20"/>
      <c r="F221" s="20"/>
      <c r="G221" s="23"/>
      <c r="H221" s="23"/>
      <c r="I221" s="77"/>
      <c r="J221" s="23"/>
      <c r="K221" s="23"/>
      <c r="L221" s="23"/>
      <c r="M221" s="32"/>
      <c r="N221" s="32"/>
      <c r="O221" s="32"/>
      <c r="P221" s="23"/>
      <c r="Q221" s="77"/>
      <c r="R221" s="95"/>
      <c r="S221" s="54"/>
      <c r="T221" s="84"/>
      <c r="U221" s="33"/>
      <c r="V221" s="23"/>
      <c r="W221" s="31"/>
      <c r="X221" s="31"/>
      <c r="Y221" s="65"/>
    </row>
    <row r="222" ht="22.5" customHeight="1">
      <c r="A222" s="20"/>
      <c r="B222" s="20"/>
      <c r="C222" s="21"/>
      <c r="D222" s="20"/>
      <c r="E222" s="20"/>
      <c r="F222" s="20"/>
      <c r="G222" s="23"/>
      <c r="H222" s="23"/>
      <c r="I222" s="77"/>
      <c r="J222" s="23"/>
      <c r="K222" s="23"/>
      <c r="L222" s="23"/>
      <c r="M222" s="32"/>
      <c r="N222" s="32"/>
      <c r="O222" s="32"/>
      <c r="P222" s="23"/>
      <c r="Q222" s="77"/>
      <c r="R222" s="95"/>
      <c r="S222" s="54"/>
      <c r="T222" s="84"/>
      <c r="U222" s="33"/>
      <c r="V222" s="23"/>
      <c r="W222" s="31"/>
      <c r="X222" s="31"/>
      <c r="Y222" s="65"/>
    </row>
    <row r="223" ht="22.5" customHeight="1">
      <c r="A223" s="20"/>
      <c r="B223" s="20"/>
      <c r="C223" s="21"/>
      <c r="D223" s="20"/>
      <c r="E223" s="20"/>
      <c r="F223" s="20"/>
      <c r="G223" s="23"/>
      <c r="H223" s="23"/>
      <c r="I223" s="77"/>
      <c r="J223" s="23"/>
      <c r="K223" s="23"/>
      <c r="L223" s="23"/>
      <c r="M223" s="32"/>
      <c r="N223" s="32"/>
      <c r="O223" s="32"/>
      <c r="P223" s="23"/>
      <c r="Q223" s="77"/>
      <c r="R223" s="95"/>
      <c r="S223" s="54"/>
      <c r="T223" s="84"/>
      <c r="U223" s="33"/>
      <c r="V223" s="23"/>
      <c r="W223" s="31"/>
      <c r="X223" s="31"/>
      <c r="Y223" s="65"/>
    </row>
    <row r="224" ht="22.5" customHeight="1">
      <c r="A224" s="20"/>
      <c r="B224" s="20"/>
      <c r="C224" s="21"/>
      <c r="D224" s="20"/>
      <c r="E224" s="20"/>
      <c r="F224" s="20"/>
      <c r="G224" s="23"/>
      <c r="H224" s="23"/>
      <c r="I224" s="77"/>
      <c r="J224" s="23"/>
      <c r="K224" s="23"/>
      <c r="L224" s="23"/>
      <c r="M224" s="32"/>
      <c r="N224" s="32"/>
      <c r="O224" s="32"/>
      <c r="P224" s="23"/>
      <c r="Q224" s="77"/>
      <c r="R224" s="95"/>
      <c r="S224" s="54"/>
      <c r="T224" s="84"/>
      <c r="U224" s="33"/>
      <c r="V224" s="23"/>
      <c r="W224" s="31"/>
      <c r="X224" s="31"/>
      <c r="Y224" s="65"/>
    </row>
    <row r="225" ht="22.5" customHeight="1">
      <c r="A225" s="20"/>
      <c r="B225" s="20"/>
      <c r="C225" s="21"/>
      <c r="D225" s="20"/>
      <c r="E225" s="20"/>
      <c r="F225" s="20"/>
      <c r="G225" s="23"/>
      <c r="H225" s="23"/>
      <c r="I225" s="77"/>
      <c r="J225" s="23"/>
      <c r="K225" s="23"/>
      <c r="L225" s="23"/>
      <c r="M225" s="32"/>
      <c r="N225" s="32"/>
      <c r="O225" s="32"/>
      <c r="P225" s="23"/>
      <c r="Q225" s="77"/>
      <c r="R225" s="95"/>
      <c r="S225" s="54"/>
      <c r="T225" s="84"/>
      <c r="U225" s="33"/>
      <c r="V225" s="23"/>
      <c r="W225" s="31"/>
      <c r="X225" s="31"/>
      <c r="Y225" s="65"/>
    </row>
    <row r="226" ht="22.5" customHeight="1">
      <c r="A226" s="20"/>
      <c r="B226" s="20"/>
      <c r="C226" s="21"/>
      <c r="D226" s="20"/>
      <c r="E226" s="20"/>
      <c r="F226" s="20"/>
      <c r="G226" s="23"/>
      <c r="H226" s="23"/>
      <c r="I226" s="77"/>
      <c r="J226" s="23"/>
      <c r="K226" s="23"/>
      <c r="L226" s="23"/>
      <c r="M226" s="32"/>
      <c r="N226" s="32"/>
      <c r="O226" s="32"/>
      <c r="P226" s="23"/>
      <c r="Q226" s="77"/>
      <c r="R226" s="95"/>
      <c r="S226" s="54"/>
      <c r="T226" s="84"/>
      <c r="U226" s="33"/>
      <c r="V226" s="23"/>
      <c r="W226" s="31"/>
      <c r="X226" s="31"/>
      <c r="Y226" s="65"/>
    </row>
    <row r="227" ht="22.5" customHeight="1">
      <c r="A227" s="20"/>
      <c r="B227" s="20"/>
      <c r="C227" s="21"/>
      <c r="D227" s="20"/>
      <c r="E227" s="20"/>
      <c r="F227" s="20"/>
      <c r="G227" s="23"/>
      <c r="H227" s="23"/>
      <c r="I227" s="77"/>
      <c r="J227" s="23"/>
      <c r="K227" s="23"/>
      <c r="L227" s="23"/>
      <c r="M227" s="32"/>
      <c r="N227" s="32"/>
      <c r="O227" s="32"/>
      <c r="P227" s="23"/>
      <c r="Q227" s="77"/>
      <c r="R227" s="95"/>
      <c r="S227" s="54"/>
      <c r="T227" s="84"/>
      <c r="U227" s="33"/>
      <c r="V227" s="23"/>
      <c r="W227" s="31"/>
      <c r="X227" s="31"/>
      <c r="Y227" s="65"/>
    </row>
    <row r="228" ht="22.5" customHeight="1">
      <c r="A228" s="20"/>
      <c r="B228" s="20"/>
      <c r="C228" s="21"/>
      <c r="D228" s="20"/>
      <c r="E228" s="20"/>
      <c r="F228" s="20"/>
      <c r="G228" s="23"/>
      <c r="H228" s="23"/>
      <c r="I228" s="77"/>
      <c r="J228" s="23"/>
      <c r="K228" s="23"/>
      <c r="L228" s="23"/>
      <c r="M228" s="32"/>
      <c r="N228" s="32"/>
      <c r="O228" s="32"/>
      <c r="P228" s="23"/>
      <c r="Q228" s="77"/>
      <c r="R228" s="95"/>
      <c r="S228" s="54"/>
      <c r="T228" s="84"/>
      <c r="U228" s="33"/>
      <c r="V228" s="23"/>
      <c r="W228" s="31"/>
      <c r="X228" s="31"/>
      <c r="Y228" s="65"/>
    </row>
    <row r="229" ht="22.5" customHeight="1">
      <c r="A229" s="20"/>
      <c r="B229" s="20"/>
      <c r="C229" s="21"/>
      <c r="D229" s="20"/>
      <c r="E229" s="20"/>
      <c r="F229" s="20"/>
      <c r="G229" s="23"/>
      <c r="H229" s="23"/>
      <c r="I229" s="77"/>
      <c r="J229" s="23"/>
      <c r="K229" s="23"/>
      <c r="L229" s="23"/>
      <c r="M229" s="32"/>
      <c r="N229" s="32"/>
      <c r="O229" s="32"/>
      <c r="P229" s="23"/>
      <c r="Q229" s="77"/>
      <c r="R229" s="95"/>
      <c r="S229" s="54"/>
      <c r="T229" s="84"/>
      <c r="U229" s="33"/>
      <c r="V229" s="23"/>
      <c r="W229" s="31"/>
      <c r="X229" s="31"/>
      <c r="Y229" s="65"/>
    </row>
    <row r="230" ht="22.5" customHeight="1">
      <c r="A230" s="20"/>
      <c r="B230" s="20"/>
      <c r="C230" s="21"/>
      <c r="D230" s="20"/>
      <c r="E230" s="20"/>
      <c r="F230" s="20"/>
      <c r="G230" s="23"/>
      <c r="H230" s="23"/>
      <c r="I230" s="77"/>
      <c r="J230" s="23"/>
      <c r="K230" s="23"/>
      <c r="L230" s="23"/>
      <c r="M230" s="32"/>
      <c r="N230" s="32"/>
      <c r="O230" s="32"/>
      <c r="P230" s="23"/>
      <c r="Q230" s="77"/>
      <c r="R230" s="95"/>
      <c r="S230" s="54"/>
      <c r="T230" s="84"/>
      <c r="U230" s="33"/>
      <c r="V230" s="23"/>
      <c r="W230" s="31"/>
      <c r="X230" s="31"/>
      <c r="Y230" s="65"/>
    </row>
    <row r="231" ht="22.5" customHeight="1">
      <c r="A231" s="20"/>
      <c r="B231" s="20"/>
      <c r="C231" s="21"/>
      <c r="D231" s="20"/>
      <c r="E231" s="20"/>
      <c r="F231" s="20"/>
      <c r="G231" s="23"/>
      <c r="H231" s="23"/>
      <c r="I231" s="77"/>
      <c r="J231" s="23"/>
      <c r="K231" s="23"/>
      <c r="L231" s="23"/>
      <c r="M231" s="32"/>
      <c r="N231" s="32"/>
      <c r="O231" s="32"/>
      <c r="P231" s="23"/>
      <c r="Q231" s="77"/>
      <c r="R231" s="95"/>
      <c r="S231" s="54"/>
      <c r="T231" s="84"/>
      <c r="U231" s="33"/>
      <c r="V231" s="23"/>
      <c r="W231" s="31"/>
      <c r="X231" s="31"/>
      <c r="Y231" s="65"/>
    </row>
    <row r="232" ht="22.5" customHeight="1">
      <c r="A232" s="20"/>
      <c r="B232" s="20"/>
      <c r="C232" s="21"/>
      <c r="D232" s="20"/>
      <c r="E232" s="20"/>
      <c r="F232" s="20"/>
      <c r="G232" s="23"/>
      <c r="H232" s="23"/>
      <c r="I232" s="77"/>
      <c r="J232" s="23"/>
      <c r="K232" s="23"/>
      <c r="L232" s="23"/>
      <c r="M232" s="32"/>
      <c r="N232" s="32"/>
      <c r="O232" s="32"/>
      <c r="P232" s="23"/>
      <c r="Q232" s="77"/>
      <c r="R232" s="95"/>
      <c r="S232" s="54"/>
      <c r="T232" s="84"/>
      <c r="U232" s="33"/>
      <c r="V232" s="23"/>
      <c r="W232" s="31"/>
      <c r="X232" s="31"/>
      <c r="Y232" s="65"/>
    </row>
    <row r="233" ht="22.5" customHeight="1">
      <c r="A233" s="20"/>
      <c r="B233" s="20"/>
      <c r="C233" s="21"/>
      <c r="D233" s="20"/>
      <c r="E233" s="20"/>
      <c r="F233" s="20"/>
      <c r="G233" s="23"/>
      <c r="H233" s="23"/>
      <c r="I233" s="77"/>
      <c r="J233" s="23"/>
      <c r="K233" s="23"/>
      <c r="L233" s="23"/>
      <c r="M233" s="32"/>
      <c r="N233" s="32"/>
      <c r="O233" s="32"/>
      <c r="P233" s="23"/>
      <c r="Q233" s="77"/>
      <c r="R233" s="95"/>
      <c r="S233" s="54"/>
      <c r="T233" s="84"/>
      <c r="U233" s="33"/>
      <c r="V233" s="23"/>
      <c r="W233" s="31"/>
      <c r="X233" s="31"/>
      <c r="Y233" s="65"/>
    </row>
    <row r="234" ht="22.5" customHeight="1">
      <c r="A234" s="20"/>
      <c r="B234" s="20"/>
      <c r="C234" s="21"/>
      <c r="D234" s="20"/>
      <c r="E234" s="20"/>
      <c r="F234" s="20"/>
      <c r="G234" s="23"/>
      <c r="H234" s="23"/>
      <c r="I234" s="77"/>
      <c r="J234" s="23"/>
      <c r="K234" s="23"/>
      <c r="L234" s="23"/>
      <c r="M234" s="32"/>
      <c r="N234" s="32"/>
      <c r="O234" s="32"/>
      <c r="P234" s="23"/>
      <c r="Q234" s="77"/>
      <c r="R234" s="95"/>
      <c r="S234" s="54"/>
      <c r="T234" s="84"/>
      <c r="U234" s="33"/>
      <c r="V234" s="23"/>
      <c r="W234" s="31"/>
      <c r="X234" s="31"/>
      <c r="Y234" s="65"/>
    </row>
    <row r="235" ht="22.5" customHeight="1">
      <c r="A235" s="20"/>
      <c r="B235" s="20"/>
      <c r="C235" s="21"/>
      <c r="D235" s="20"/>
      <c r="E235" s="20"/>
      <c r="F235" s="20"/>
      <c r="G235" s="23"/>
      <c r="H235" s="23"/>
      <c r="I235" s="77"/>
      <c r="J235" s="23"/>
      <c r="K235" s="23"/>
      <c r="L235" s="23"/>
      <c r="M235" s="32"/>
      <c r="N235" s="32"/>
      <c r="O235" s="32"/>
      <c r="P235" s="23"/>
      <c r="Q235" s="77"/>
      <c r="R235" s="95"/>
      <c r="S235" s="54"/>
      <c r="T235" s="84"/>
      <c r="U235" s="33"/>
      <c r="V235" s="23"/>
      <c r="W235" s="31"/>
      <c r="X235" s="31"/>
      <c r="Y235" s="65"/>
    </row>
    <row r="236" ht="22.5" customHeight="1">
      <c r="A236" s="20"/>
      <c r="B236" s="20"/>
      <c r="C236" s="21"/>
      <c r="D236" s="20"/>
      <c r="E236" s="20"/>
      <c r="F236" s="20"/>
      <c r="G236" s="23"/>
      <c r="H236" s="23"/>
      <c r="I236" s="77"/>
      <c r="J236" s="23"/>
      <c r="K236" s="23"/>
      <c r="L236" s="23"/>
      <c r="M236" s="32"/>
      <c r="N236" s="32"/>
      <c r="O236" s="32"/>
      <c r="P236" s="23"/>
      <c r="Q236" s="77"/>
      <c r="R236" s="95"/>
      <c r="S236" s="54"/>
      <c r="T236" s="84"/>
      <c r="U236" s="33"/>
      <c r="V236" s="23"/>
      <c r="W236" s="31"/>
      <c r="X236" s="31"/>
      <c r="Y236" s="65"/>
    </row>
    <row r="237" ht="22.5" customHeight="1">
      <c r="A237" s="20"/>
      <c r="B237" s="20"/>
      <c r="C237" s="21"/>
      <c r="D237" s="20"/>
      <c r="E237" s="20"/>
      <c r="F237" s="20"/>
      <c r="G237" s="23"/>
      <c r="H237" s="23"/>
      <c r="I237" s="77"/>
      <c r="J237" s="23"/>
      <c r="K237" s="23"/>
      <c r="L237" s="23"/>
      <c r="M237" s="32"/>
      <c r="N237" s="32"/>
      <c r="O237" s="32"/>
      <c r="P237" s="23"/>
      <c r="Q237" s="77"/>
      <c r="R237" s="95"/>
      <c r="S237" s="54"/>
      <c r="T237" s="84"/>
      <c r="U237" s="33"/>
      <c r="V237" s="23"/>
      <c r="W237" s="31"/>
      <c r="X237" s="31"/>
      <c r="Y237" s="65"/>
    </row>
    <row r="238" ht="22.5" customHeight="1">
      <c r="A238" s="20"/>
      <c r="B238" s="20"/>
      <c r="C238" s="21"/>
      <c r="D238" s="20"/>
      <c r="E238" s="20"/>
      <c r="F238" s="20"/>
      <c r="G238" s="23"/>
      <c r="H238" s="23"/>
      <c r="I238" s="77"/>
      <c r="J238" s="23"/>
      <c r="K238" s="23"/>
      <c r="L238" s="23"/>
      <c r="M238" s="32"/>
      <c r="N238" s="32"/>
      <c r="O238" s="32"/>
      <c r="P238" s="23"/>
      <c r="Q238" s="77"/>
      <c r="R238" s="95"/>
      <c r="S238" s="54"/>
      <c r="T238" s="84"/>
      <c r="U238" s="33"/>
      <c r="V238" s="23"/>
      <c r="W238" s="31"/>
      <c r="X238" s="31"/>
      <c r="Y238" s="65"/>
    </row>
    <row r="239" ht="22.5" customHeight="1">
      <c r="A239" s="20"/>
      <c r="B239" s="20"/>
      <c r="C239" s="21"/>
      <c r="D239" s="20"/>
      <c r="E239" s="20"/>
      <c r="F239" s="20"/>
      <c r="G239" s="23"/>
      <c r="H239" s="23"/>
      <c r="I239" s="77"/>
      <c r="J239" s="23"/>
      <c r="K239" s="23"/>
      <c r="L239" s="23"/>
      <c r="M239" s="32"/>
      <c r="N239" s="32"/>
      <c r="O239" s="32"/>
      <c r="P239" s="23"/>
      <c r="Q239" s="77"/>
      <c r="R239" s="95"/>
      <c r="S239" s="54"/>
      <c r="T239" s="84"/>
      <c r="U239" s="33"/>
      <c r="V239" s="23"/>
      <c r="W239" s="31"/>
      <c r="X239" s="31"/>
      <c r="Y239" s="65"/>
    </row>
    <row r="240" ht="22.5" customHeight="1">
      <c r="A240" s="20"/>
      <c r="B240" s="20"/>
      <c r="C240" s="21"/>
      <c r="D240" s="20"/>
      <c r="E240" s="20"/>
      <c r="F240" s="20"/>
      <c r="G240" s="23"/>
      <c r="H240" s="23"/>
      <c r="I240" s="77"/>
      <c r="J240" s="23"/>
      <c r="K240" s="23"/>
      <c r="L240" s="23"/>
      <c r="M240" s="32"/>
      <c r="N240" s="32"/>
      <c r="O240" s="32"/>
      <c r="P240" s="23"/>
      <c r="Q240" s="77"/>
      <c r="R240" s="95"/>
      <c r="S240" s="54"/>
      <c r="T240" s="84"/>
      <c r="U240" s="33"/>
      <c r="V240" s="23"/>
      <c r="W240" s="31"/>
      <c r="X240" s="31"/>
      <c r="Y240" s="65"/>
    </row>
    <row r="241" ht="22.5" customHeight="1">
      <c r="A241" s="20"/>
      <c r="B241" s="20"/>
      <c r="C241" s="21"/>
      <c r="D241" s="20"/>
      <c r="E241" s="20"/>
      <c r="F241" s="20"/>
      <c r="G241" s="23"/>
      <c r="H241" s="23"/>
      <c r="I241" s="77"/>
      <c r="J241" s="23"/>
      <c r="K241" s="23"/>
      <c r="L241" s="23"/>
      <c r="M241" s="32"/>
      <c r="N241" s="32"/>
      <c r="O241" s="32"/>
      <c r="P241" s="23"/>
      <c r="Q241" s="77"/>
      <c r="R241" s="95"/>
      <c r="S241" s="54"/>
      <c r="T241" s="84"/>
      <c r="U241" s="33"/>
      <c r="V241" s="23"/>
      <c r="W241" s="31"/>
      <c r="X241" s="31"/>
      <c r="Y241" s="65"/>
    </row>
    <row r="242" ht="22.5" customHeight="1">
      <c r="A242" s="20"/>
      <c r="B242" s="20"/>
      <c r="C242" s="21"/>
      <c r="D242" s="20"/>
      <c r="E242" s="20"/>
      <c r="F242" s="20"/>
      <c r="G242" s="23"/>
      <c r="H242" s="23"/>
      <c r="I242" s="77"/>
      <c r="J242" s="23"/>
      <c r="K242" s="23"/>
      <c r="L242" s="23"/>
      <c r="M242" s="32"/>
      <c r="N242" s="32"/>
      <c r="O242" s="32"/>
      <c r="P242" s="23"/>
      <c r="Q242" s="77"/>
      <c r="R242" s="95"/>
      <c r="S242" s="54"/>
      <c r="T242" s="84"/>
      <c r="U242" s="33"/>
      <c r="V242" s="23"/>
      <c r="W242" s="31"/>
      <c r="X242" s="31"/>
      <c r="Y242" s="65"/>
    </row>
    <row r="243" ht="22.5" customHeight="1">
      <c r="A243" s="20"/>
      <c r="B243" s="20"/>
      <c r="C243" s="21"/>
      <c r="D243" s="20"/>
      <c r="E243" s="20"/>
      <c r="F243" s="20"/>
      <c r="G243" s="23"/>
      <c r="H243" s="23"/>
      <c r="I243" s="77"/>
      <c r="J243" s="23"/>
      <c r="K243" s="23"/>
      <c r="L243" s="23"/>
      <c r="M243" s="32"/>
      <c r="N243" s="32"/>
      <c r="O243" s="32"/>
      <c r="P243" s="23"/>
      <c r="Q243" s="77"/>
      <c r="R243" s="95"/>
      <c r="S243" s="54"/>
      <c r="T243" s="84"/>
      <c r="U243" s="33"/>
      <c r="V243" s="23"/>
      <c r="W243" s="31"/>
      <c r="X243" s="31"/>
      <c r="Y243" s="65"/>
    </row>
    <row r="244" ht="22.5" customHeight="1">
      <c r="A244" s="20"/>
      <c r="B244" s="20"/>
      <c r="C244" s="21"/>
      <c r="D244" s="20"/>
      <c r="E244" s="20"/>
      <c r="F244" s="20"/>
      <c r="G244" s="23"/>
      <c r="H244" s="23"/>
      <c r="I244" s="77"/>
      <c r="J244" s="23"/>
      <c r="K244" s="23"/>
      <c r="L244" s="23"/>
      <c r="M244" s="32"/>
      <c r="N244" s="32"/>
      <c r="O244" s="32"/>
      <c r="P244" s="23"/>
      <c r="Q244" s="77"/>
      <c r="R244" s="95"/>
      <c r="S244" s="54"/>
      <c r="T244" s="84"/>
      <c r="U244" s="33"/>
      <c r="V244" s="23"/>
      <c r="W244" s="31"/>
      <c r="X244" s="31"/>
      <c r="Y244" s="65"/>
    </row>
    <row r="245" ht="22.5" customHeight="1">
      <c r="A245" s="20"/>
      <c r="B245" s="20"/>
      <c r="C245" s="21"/>
      <c r="D245" s="20"/>
      <c r="E245" s="20"/>
      <c r="F245" s="20"/>
      <c r="G245" s="23"/>
      <c r="H245" s="23"/>
      <c r="I245" s="77"/>
      <c r="J245" s="23"/>
      <c r="K245" s="23"/>
      <c r="L245" s="23"/>
      <c r="M245" s="32"/>
      <c r="N245" s="32"/>
      <c r="O245" s="32"/>
      <c r="P245" s="23"/>
      <c r="Q245" s="77"/>
      <c r="R245" s="95"/>
      <c r="S245" s="54"/>
      <c r="T245" s="84"/>
      <c r="U245" s="33"/>
      <c r="V245" s="23"/>
      <c r="W245" s="31"/>
      <c r="X245" s="31"/>
      <c r="Y245" s="65"/>
    </row>
    <row r="246" ht="22.5" customHeight="1">
      <c r="A246" s="20"/>
      <c r="B246" s="20"/>
      <c r="C246" s="21"/>
      <c r="D246" s="20"/>
      <c r="E246" s="20"/>
      <c r="F246" s="20"/>
      <c r="G246" s="23"/>
      <c r="H246" s="23"/>
      <c r="I246" s="77"/>
      <c r="J246" s="23"/>
      <c r="K246" s="23"/>
      <c r="L246" s="23"/>
      <c r="M246" s="32"/>
      <c r="N246" s="32"/>
      <c r="O246" s="32"/>
      <c r="P246" s="23"/>
      <c r="Q246" s="77"/>
      <c r="R246" s="95"/>
      <c r="S246" s="54"/>
      <c r="T246" s="84"/>
      <c r="U246" s="33"/>
      <c r="V246" s="23"/>
      <c r="W246" s="31"/>
      <c r="X246" s="31"/>
      <c r="Y246" s="65"/>
    </row>
    <row r="247" ht="22.5" customHeight="1">
      <c r="A247" s="20"/>
      <c r="B247" s="20"/>
      <c r="C247" s="21"/>
      <c r="D247" s="20"/>
      <c r="E247" s="20"/>
      <c r="F247" s="20"/>
      <c r="G247" s="23"/>
      <c r="H247" s="23"/>
      <c r="I247" s="77"/>
      <c r="J247" s="23"/>
      <c r="K247" s="23"/>
      <c r="L247" s="23"/>
      <c r="M247" s="32"/>
      <c r="N247" s="32"/>
      <c r="O247" s="32"/>
      <c r="P247" s="23"/>
      <c r="Q247" s="77"/>
      <c r="R247" s="95"/>
      <c r="S247" s="54"/>
      <c r="T247" s="84"/>
      <c r="U247" s="33"/>
      <c r="V247" s="23"/>
      <c r="W247" s="31"/>
      <c r="X247" s="31"/>
      <c r="Y247" s="65"/>
    </row>
    <row r="248" ht="22.5" customHeight="1">
      <c r="A248" s="20"/>
      <c r="B248" s="20"/>
      <c r="C248" s="21"/>
      <c r="D248" s="20"/>
      <c r="E248" s="20"/>
      <c r="F248" s="20"/>
      <c r="G248" s="23"/>
      <c r="H248" s="23"/>
      <c r="I248" s="77"/>
      <c r="J248" s="23"/>
      <c r="K248" s="23"/>
      <c r="L248" s="23"/>
      <c r="M248" s="32"/>
      <c r="N248" s="32"/>
      <c r="O248" s="32"/>
      <c r="P248" s="23"/>
      <c r="Q248" s="77"/>
      <c r="R248" s="95"/>
      <c r="S248" s="54"/>
      <c r="T248" s="84"/>
      <c r="U248" s="33"/>
      <c r="V248" s="23"/>
      <c r="W248" s="31"/>
      <c r="X248" s="31"/>
      <c r="Y248" s="65"/>
    </row>
    <row r="249" ht="22.5" customHeight="1">
      <c r="A249" s="20"/>
      <c r="B249" s="20"/>
      <c r="C249" s="21"/>
      <c r="D249" s="20"/>
      <c r="E249" s="20"/>
      <c r="F249" s="20"/>
      <c r="G249" s="23"/>
      <c r="H249" s="23"/>
      <c r="I249" s="77"/>
      <c r="J249" s="23"/>
      <c r="K249" s="23"/>
      <c r="L249" s="23"/>
      <c r="M249" s="32"/>
      <c r="N249" s="32"/>
      <c r="O249" s="32"/>
      <c r="P249" s="23"/>
      <c r="Q249" s="77"/>
      <c r="R249" s="95"/>
      <c r="S249" s="54"/>
      <c r="T249" s="84"/>
      <c r="U249" s="33"/>
      <c r="V249" s="23"/>
      <c r="W249" s="31"/>
      <c r="X249" s="31"/>
      <c r="Y249" s="65"/>
    </row>
    <row r="250" ht="22.5" customHeight="1">
      <c r="A250" s="20"/>
      <c r="B250" s="20"/>
      <c r="C250" s="21"/>
      <c r="D250" s="20"/>
      <c r="E250" s="20"/>
      <c r="F250" s="20"/>
      <c r="G250" s="23"/>
      <c r="H250" s="23"/>
      <c r="I250" s="77"/>
      <c r="J250" s="23"/>
      <c r="K250" s="23"/>
      <c r="L250" s="23"/>
      <c r="M250" s="32"/>
      <c r="N250" s="32"/>
      <c r="O250" s="32"/>
      <c r="P250" s="23"/>
      <c r="Q250" s="77"/>
      <c r="R250" s="95"/>
      <c r="S250" s="54"/>
      <c r="T250" s="84"/>
      <c r="U250" s="33"/>
      <c r="V250" s="23"/>
      <c r="W250" s="31"/>
      <c r="X250" s="31"/>
      <c r="Y250" s="65"/>
    </row>
    <row r="251" ht="22.5" customHeight="1">
      <c r="A251" s="20"/>
      <c r="B251" s="20"/>
      <c r="C251" s="21"/>
      <c r="D251" s="20"/>
      <c r="E251" s="20"/>
      <c r="F251" s="20"/>
      <c r="G251" s="23"/>
      <c r="H251" s="23"/>
      <c r="I251" s="77"/>
      <c r="J251" s="23"/>
      <c r="K251" s="23"/>
      <c r="L251" s="23"/>
      <c r="M251" s="32"/>
      <c r="N251" s="32"/>
      <c r="O251" s="32"/>
      <c r="P251" s="23"/>
      <c r="Q251" s="77"/>
      <c r="R251" s="95"/>
      <c r="S251" s="54"/>
      <c r="T251" s="84"/>
      <c r="U251" s="33"/>
      <c r="V251" s="23"/>
      <c r="W251" s="31"/>
      <c r="X251" s="31"/>
      <c r="Y251" s="65"/>
    </row>
    <row r="252" ht="22.5" customHeight="1">
      <c r="A252" s="20"/>
      <c r="B252" s="20"/>
      <c r="C252" s="21"/>
      <c r="D252" s="20"/>
      <c r="E252" s="20"/>
      <c r="F252" s="20"/>
      <c r="G252" s="23"/>
      <c r="H252" s="23"/>
      <c r="I252" s="77"/>
      <c r="J252" s="23"/>
      <c r="K252" s="23"/>
      <c r="L252" s="23"/>
      <c r="M252" s="32"/>
      <c r="N252" s="32"/>
      <c r="O252" s="32"/>
      <c r="P252" s="23"/>
      <c r="Q252" s="77"/>
      <c r="R252" s="95"/>
      <c r="S252" s="54"/>
      <c r="T252" s="84"/>
      <c r="U252" s="33"/>
      <c r="V252" s="23"/>
      <c r="W252" s="31"/>
      <c r="X252" s="31"/>
      <c r="Y252" s="65"/>
    </row>
    <row r="253" ht="22.5" customHeight="1">
      <c r="A253" s="20"/>
      <c r="B253" s="20"/>
      <c r="C253" s="21"/>
      <c r="D253" s="20"/>
      <c r="E253" s="20"/>
      <c r="F253" s="20"/>
      <c r="G253" s="23"/>
      <c r="H253" s="23"/>
      <c r="I253" s="77"/>
      <c r="J253" s="23"/>
      <c r="K253" s="23"/>
      <c r="L253" s="23"/>
      <c r="M253" s="32"/>
      <c r="N253" s="32"/>
      <c r="O253" s="32"/>
      <c r="P253" s="23"/>
      <c r="Q253" s="77"/>
      <c r="R253" s="95"/>
      <c r="S253" s="54"/>
      <c r="T253" s="84"/>
      <c r="U253" s="33"/>
      <c r="V253" s="23"/>
      <c r="W253" s="31"/>
      <c r="X253" s="31"/>
      <c r="Y253" s="65"/>
    </row>
    <row r="254" ht="22.5" customHeight="1">
      <c r="A254" s="20"/>
      <c r="B254" s="20"/>
      <c r="C254" s="21"/>
      <c r="D254" s="20"/>
      <c r="E254" s="20"/>
      <c r="F254" s="20"/>
      <c r="G254" s="23"/>
      <c r="H254" s="23"/>
      <c r="I254" s="77"/>
      <c r="J254" s="23"/>
      <c r="K254" s="23"/>
      <c r="L254" s="23"/>
      <c r="M254" s="32"/>
      <c r="N254" s="32"/>
      <c r="O254" s="32"/>
      <c r="P254" s="23"/>
      <c r="Q254" s="77"/>
      <c r="R254" s="95"/>
      <c r="S254" s="54"/>
      <c r="T254" s="84"/>
      <c r="U254" s="33"/>
      <c r="V254" s="23"/>
      <c r="W254" s="31"/>
      <c r="X254" s="31"/>
      <c r="Y254" s="65"/>
    </row>
    <row r="255" ht="22.5" customHeight="1">
      <c r="A255" s="20"/>
      <c r="B255" s="20"/>
      <c r="C255" s="21"/>
      <c r="D255" s="20"/>
      <c r="E255" s="20"/>
      <c r="F255" s="20"/>
      <c r="G255" s="23"/>
      <c r="H255" s="23"/>
      <c r="I255" s="77"/>
      <c r="J255" s="23"/>
      <c r="K255" s="23"/>
      <c r="L255" s="23"/>
      <c r="M255" s="32"/>
      <c r="N255" s="32"/>
      <c r="O255" s="32"/>
      <c r="P255" s="23"/>
      <c r="Q255" s="77"/>
      <c r="R255" s="95"/>
      <c r="S255" s="54"/>
      <c r="T255" s="84"/>
      <c r="U255" s="33"/>
      <c r="V255" s="23"/>
      <c r="W255" s="31"/>
      <c r="X255" s="31"/>
      <c r="Y255" s="65"/>
    </row>
    <row r="256" ht="22.5" customHeight="1">
      <c r="A256" s="20"/>
      <c r="B256" s="20"/>
      <c r="C256" s="21"/>
      <c r="D256" s="20"/>
      <c r="E256" s="20"/>
      <c r="F256" s="20"/>
      <c r="G256" s="23"/>
      <c r="H256" s="23"/>
      <c r="I256" s="77"/>
      <c r="J256" s="23"/>
      <c r="K256" s="23"/>
      <c r="L256" s="23"/>
      <c r="M256" s="32"/>
      <c r="N256" s="32"/>
      <c r="O256" s="32"/>
      <c r="P256" s="23"/>
      <c r="Q256" s="77"/>
      <c r="R256" s="95"/>
      <c r="S256" s="54"/>
      <c r="T256" s="84"/>
      <c r="U256" s="33"/>
      <c r="V256" s="23"/>
      <c r="W256" s="31"/>
      <c r="X256" s="31"/>
      <c r="Y256" s="65"/>
    </row>
    <row r="257" ht="22.5" customHeight="1">
      <c r="A257" s="20"/>
      <c r="B257" s="20"/>
      <c r="C257" s="21"/>
      <c r="D257" s="20"/>
      <c r="E257" s="20"/>
      <c r="F257" s="20"/>
      <c r="G257" s="23"/>
      <c r="H257" s="23"/>
      <c r="I257" s="77"/>
      <c r="J257" s="23"/>
      <c r="K257" s="23"/>
      <c r="L257" s="23"/>
      <c r="M257" s="32"/>
      <c r="N257" s="32"/>
      <c r="O257" s="32"/>
      <c r="P257" s="23"/>
      <c r="Q257" s="77"/>
      <c r="R257" s="95"/>
      <c r="S257" s="54"/>
      <c r="T257" s="84"/>
      <c r="U257" s="33"/>
      <c r="V257" s="23"/>
      <c r="W257" s="31"/>
      <c r="X257" s="31"/>
      <c r="Y257" s="65"/>
    </row>
    <row r="258" ht="22.5" customHeight="1">
      <c r="A258" s="20"/>
      <c r="B258" s="20"/>
      <c r="C258" s="21"/>
      <c r="D258" s="20"/>
      <c r="E258" s="20"/>
      <c r="F258" s="20"/>
      <c r="G258" s="23"/>
      <c r="H258" s="23"/>
      <c r="I258" s="77"/>
      <c r="J258" s="23"/>
      <c r="K258" s="23"/>
      <c r="L258" s="23"/>
      <c r="M258" s="32"/>
      <c r="N258" s="32"/>
      <c r="O258" s="32"/>
      <c r="P258" s="23"/>
      <c r="Q258" s="77"/>
      <c r="R258" s="95"/>
      <c r="S258" s="54"/>
      <c r="T258" s="84"/>
      <c r="U258" s="33"/>
      <c r="V258" s="23"/>
      <c r="W258" s="31"/>
      <c r="X258" s="31"/>
      <c r="Y258" s="65"/>
    </row>
    <row r="259" ht="22.5" customHeight="1">
      <c r="A259" s="20"/>
      <c r="B259" s="20"/>
      <c r="C259" s="21"/>
      <c r="D259" s="20"/>
      <c r="E259" s="20"/>
      <c r="F259" s="20"/>
      <c r="G259" s="23"/>
      <c r="H259" s="23"/>
      <c r="I259" s="77"/>
      <c r="J259" s="23"/>
      <c r="K259" s="23"/>
      <c r="L259" s="23"/>
      <c r="M259" s="32"/>
      <c r="N259" s="32"/>
      <c r="O259" s="32"/>
      <c r="P259" s="23"/>
      <c r="Q259" s="77"/>
      <c r="R259" s="95"/>
      <c r="S259" s="54"/>
      <c r="T259" s="84"/>
      <c r="U259" s="33"/>
      <c r="V259" s="23"/>
      <c r="W259" s="31"/>
      <c r="X259" s="31"/>
      <c r="Y259" s="65"/>
    </row>
    <row r="260" ht="22.5" customHeight="1">
      <c r="A260" s="20"/>
      <c r="B260" s="20"/>
      <c r="C260" s="21"/>
      <c r="D260" s="20"/>
      <c r="E260" s="20"/>
      <c r="F260" s="20"/>
      <c r="G260" s="23"/>
      <c r="H260" s="23"/>
      <c r="I260" s="77"/>
      <c r="J260" s="23"/>
      <c r="K260" s="23"/>
      <c r="L260" s="23"/>
      <c r="M260" s="32"/>
      <c r="N260" s="32"/>
      <c r="O260" s="32"/>
      <c r="P260" s="23"/>
      <c r="Q260" s="77"/>
      <c r="R260" s="95"/>
      <c r="S260" s="54"/>
      <c r="T260" s="84"/>
      <c r="U260" s="33"/>
      <c r="V260" s="23"/>
      <c r="W260" s="31"/>
      <c r="X260" s="31"/>
      <c r="Y260" s="65"/>
    </row>
    <row r="261" ht="22.5" customHeight="1">
      <c r="A261" s="20"/>
      <c r="B261" s="20"/>
      <c r="C261" s="21"/>
      <c r="D261" s="20"/>
      <c r="E261" s="20"/>
      <c r="F261" s="20"/>
      <c r="G261" s="23"/>
      <c r="H261" s="23"/>
      <c r="I261" s="77"/>
      <c r="J261" s="23"/>
      <c r="K261" s="23"/>
      <c r="L261" s="23"/>
      <c r="M261" s="32"/>
      <c r="N261" s="32"/>
      <c r="O261" s="32"/>
      <c r="P261" s="23"/>
      <c r="Q261" s="77"/>
      <c r="R261" s="95"/>
      <c r="S261" s="54"/>
      <c r="T261" s="84"/>
      <c r="U261" s="33"/>
      <c r="V261" s="23"/>
      <c r="W261" s="31"/>
      <c r="X261" s="31"/>
      <c r="Y261" s="65"/>
    </row>
    <row r="262" ht="22.5" customHeight="1">
      <c r="A262" s="20"/>
      <c r="B262" s="20"/>
      <c r="C262" s="21"/>
      <c r="D262" s="20"/>
      <c r="E262" s="20"/>
      <c r="F262" s="20"/>
      <c r="G262" s="23"/>
      <c r="H262" s="23"/>
      <c r="I262" s="77"/>
      <c r="J262" s="23"/>
      <c r="K262" s="23"/>
      <c r="L262" s="23"/>
      <c r="M262" s="32"/>
      <c r="N262" s="32"/>
      <c r="O262" s="32"/>
      <c r="P262" s="23"/>
      <c r="Q262" s="77"/>
      <c r="R262" s="95"/>
      <c r="S262" s="54"/>
      <c r="T262" s="84"/>
      <c r="U262" s="33"/>
      <c r="V262" s="23"/>
      <c r="W262" s="31"/>
      <c r="X262" s="31"/>
      <c r="Y262" s="65"/>
    </row>
    <row r="263" ht="22.5" customHeight="1">
      <c r="A263" s="20"/>
      <c r="B263" s="20"/>
      <c r="C263" s="21"/>
      <c r="D263" s="20"/>
      <c r="E263" s="20"/>
      <c r="F263" s="20"/>
      <c r="G263" s="23"/>
      <c r="H263" s="23"/>
      <c r="I263" s="77"/>
      <c r="J263" s="23"/>
      <c r="K263" s="23"/>
      <c r="L263" s="23"/>
      <c r="M263" s="32"/>
      <c r="N263" s="32"/>
      <c r="O263" s="32"/>
      <c r="P263" s="23"/>
      <c r="Q263" s="77"/>
      <c r="R263" s="95"/>
      <c r="S263" s="54"/>
      <c r="T263" s="84"/>
      <c r="U263" s="33"/>
      <c r="V263" s="23"/>
      <c r="W263" s="31"/>
      <c r="X263" s="31"/>
      <c r="Y263" s="65"/>
    </row>
    <row r="264" ht="22.5" customHeight="1">
      <c r="A264" s="20"/>
      <c r="B264" s="20"/>
      <c r="C264" s="21"/>
      <c r="D264" s="20"/>
      <c r="E264" s="20"/>
      <c r="F264" s="20"/>
      <c r="G264" s="23"/>
      <c r="H264" s="23"/>
      <c r="I264" s="77"/>
      <c r="J264" s="23"/>
      <c r="K264" s="23"/>
      <c r="L264" s="23"/>
      <c r="M264" s="32"/>
      <c r="N264" s="32"/>
      <c r="O264" s="32"/>
      <c r="P264" s="23"/>
      <c r="Q264" s="77"/>
      <c r="R264" s="95"/>
      <c r="S264" s="54"/>
      <c r="T264" s="84"/>
      <c r="U264" s="33"/>
      <c r="V264" s="23"/>
      <c r="W264" s="31"/>
      <c r="X264" s="31"/>
      <c r="Y264" s="65"/>
    </row>
    <row r="265" ht="22.5" customHeight="1">
      <c r="A265" s="20"/>
      <c r="B265" s="20"/>
      <c r="C265" s="21"/>
      <c r="D265" s="20"/>
      <c r="E265" s="20"/>
      <c r="F265" s="20"/>
      <c r="G265" s="23"/>
      <c r="H265" s="23"/>
      <c r="I265" s="77"/>
      <c r="J265" s="23"/>
      <c r="K265" s="23"/>
      <c r="L265" s="23"/>
      <c r="M265" s="32"/>
      <c r="N265" s="32"/>
      <c r="O265" s="32"/>
      <c r="P265" s="23"/>
      <c r="Q265" s="77"/>
      <c r="R265" s="95"/>
      <c r="S265" s="54"/>
      <c r="T265" s="84"/>
      <c r="U265" s="33"/>
      <c r="V265" s="23"/>
      <c r="W265" s="31"/>
      <c r="X265" s="31"/>
      <c r="Y265" s="65"/>
    </row>
    <row r="266" ht="22.5" customHeight="1">
      <c r="A266" s="20"/>
      <c r="B266" s="20"/>
      <c r="C266" s="21"/>
      <c r="D266" s="20"/>
      <c r="E266" s="20"/>
      <c r="F266" s="20"/>
      <c r="G266" s="23"/>
      <c r="H266" s="23"/>
      <c r="I266" s="77"/>
      <c r="J266" s="23"/>
      <c r="K266" s="23"/>
      <c r="L266" s="23"/>
      <c r="M266" s="32"/>
      <c r="N266" s="32"/>
      <c r="O266" s="32"/>
      <c r="P266" s="23"/>
      <c r="Q266" s="77"/>
      <c r="R266" s="95"/>
      <c r="S266" s="54"/>
      <c r="T266" s="84"/>
      <c r="U266" s="33"/>
      <c r="V266" s="23"/>
      <c r="W266" s="31"/>
      <c r="X266" s="31"/>
      <c r="Y266" s="65"/>
    </row>
    <row r="267" ht="22.5" customHeight="1">
      <c r="A267" s="20"/>
      <c r="B267" s="20"/>
      <c r="C267" s="21"/>
      <c r="D267" s="20"/>
      <c r="E267" s="20"/>
      <c r="F267" s="20"/>
      <c r="G267" s="23"/>
      <c r="H267" s="23"/>
      <c r="I267" s="77"/>
      <c r="J267" s="23"/>
      <c r="K267" s="23"/>
      <c r="L267" s="23"/>
      <c r="M267" s="32"/>
      <c r="N267" s="32"/>
      <c r="O267" s="32"/>
      <c r="P267" s="23"/>
      <c r="Q267" s="77"/>
      <c r="R267" s="95"/>
      <c r="S267" s="54"/>
      <c r="T267" s="84"/>
      <c r="U267" s="33"/>
      <c r="V267" s="23"/>
      <c r="W267" s="31"/>
      <c r="X267" s="31"/>
      <c r="Y267" s="65"/>
    </row>
    <row r="268" ht="22.5" customHeight="1">
      <c r="A268" s="20"/>
      <c r="B268" s="20"/>
      <c r="C268" s="21"/>
      <c r="D268" s="20"/>
      <c r="E268" s="20"/>
      <c r="F268" s="20"/>
      <c r="G268" s="23"/>
      <c r="H268" s="23"/>
      <c r="I268" s="77"/>
      <c r="J268" s="23"/>
      <c r="K268" s="23"/>
      <c r="L268" s="23"/>
      <c r="M268" s="32"/>
      <c r="N268" s="32"/>
      <c r="O268" s="32"/>
      <c r="P268" s="23"/>
      <c r="Q268" s="77"/>
      <c r="R268" s="95"/>
      <c r="S268" s="54"/>
      <c r="T268" s="84"/>
      <c r="U268" s="33"/>
      <c r="V268" s="23"/>
      <c r="W268" s="31"/>
      <c r="X268" s="31"/>
      <c r="Y268" s="65"/>
    </row>
    <row r="269" ht="22.5" customHeight="1">
      <c r="A269" s="20"/>
      <c r="B269" s="20"/>
      <c r="C269" s="21"/>
      <c r="D269" s="20"/>
      <c r="E269" s="20"/>
      <c r="F269" s="20"/>
      <c r="G269" s="23"/>
      <c r="H269" s="23"/>
      <c r="I269" s="77"/>
      <c r="J269" s="23"/>
      <c r="K269" s="23"/>
      <c r="L269" s="23"/>
      <c r="M269" s="32"/>
      <c r="N269" s="32"/>
      <c r="O269" s="32"/>
      <c r="P269" s="23"/>
      <c r="Q269" s="77"/>
      <c r="R269" s="95"/>
      <c r="S269" s="54"/>
      <c r="T269" s="84"/>
      <c r="U269" s="33"/>
      <c r="V269" s="23"/>
      <c r="W269" s="31"/>
      <c r="X269" s="31"/>
      <c r="Y269" s="65"/>
    </row>
    <row r="270" ht="22.5" customHeight="1">
      <c r="A270" s="20"/>
      <c r="B270" s="20"/>
      <c r="C270" s="21"/>
      <c r="D270" s="20"/>
      <c r="E270" s="20"/>
      <c r="F270" s="20"/>
      <c r="G270" s="23"/>
      <c r="H270" s="23"/>
      <c r="I270" s="77"/>
      <c r="J270" s="23"/>
      <c r="K270" s="23"/>
      <c r="L270" s="23"/>
      <c r="M270" s="32"/>
      <c r="N270" s="32"/>
      <c r="O270" s="32"/>
      <c r="P270" s="23"/>
      <c r="Q270" s="77"/>
      <c r="R270" s="95"/>
      <c r="S270" s="54"/>
      <c r="T270" s="84"/>
      <c r="U270" s="33"/>
      <c r="V270" s="23"/>
      <c r="W270" s="31"/>
      <c r="X270" s="31"/>
      <c r="Y270" s="65"/>
    </row>
    <row r="271" ht="22.5" customHeight="1">
      <c r="A271" s="20"/>
      <c r="B271" s="20"/>
      <c r="C271" s="21"/>
      <c r="D271" s="20"/>
      <c r="E271" s="20"/>
      <c r="F271" s="20"/>
      <c r="G271" s="23"/>
      <c r="H271" s="23"/>
      <c r="I271" s="77"/>
      <c r="J271" s="23"/>
      <c r="K271" s="23"/>
      <c r="L271" s="23"/>
      <c r="M271" s="32"/>
      <c r="N271" s="32"/>
      <c r="O271" s="32"/>
      <c r="P271" s="23"/>
      <c r="Q271" s="77"/>
      <c r="R271" s="95"/>
      <c r="S271" s="54"/>
      <c r="T271" s="84"/>
      <c r="U271" s="33"/>
      <c r="V271" s="23"/>
      <c r="W271" s="31"/>
      <c r="X271" s="31"/>
      <c r="Y271" s="65"/>
    </row>
    <row r="272" ht="22.5" customHeight="1">
      <c r="A272" s="20"/>
      <c r="B272" s="20"/>
      <c r="C272" s="21"/>
      <c r="D272" s="20"/>
      <c r="E272" s="20"/>
      <c r="F272" s="20"/>
      <c r="G272" s="23"/>
      <c r="H272" s="23"/>
      <c r="I272" s="77"/>
      <c r="J272" s="23"/>
      <c r="K272" s="23"/>
      <c r="L272" s="23"/>
      <c r="M272" s="32"/>
      <c r="N272" s="32"/>
      <c r="O272" s="32"/>
      <c r="P272" s="23"/>
      <c r="Q272" s="77"/>
      <c r="R272" s="95"/>
      <c r="S272" s="54"/>
      <c r="T272" s="84"/>
      <c r="U272" s="33"/>
      <c r="V272" s="23"/>
      <c r="W272" s="31"/>
      <c r="X272" s="31"/>
      <c r="Y272" s="65"/>
    </row>
    <row r="273" ht="22.5" customHeight="1">
      <c r="A273" s="20"/>
      <c r="B273" s="20"/>
      <c r="C273" s="21"/>
      <c r="D273" s="20"/>
      <c r="E273" s="20"/>
      <c r="F273" s="20"/>
      <c r="G273" s="23"/>
      <c r="H273" s="23"/>
      <c r="I273" s="77"/>
      <c r="J273" s="23"/>
      <c r="K273" s="23"/>
      <c r="L273" s="23"/>
      <c r="M273" s="32"/>
      <c r="N273" s="32"/>
      <c r="O273" s="32"/>
      <c r="P273" s="23"/>
      <c r="Q273" s="77"/>
      <c r="R273" s="95"/>
      <c r="S273" s="54"/>
      <c r="T273" s="84"/>
      <c r="U273" s="33"/>
      <c r="V273" s="23"/>
      <c r="W273" s="31"/>
      <c r="X273" s="31"/>
      <c r="Y273" s="65"/>
    </row>
    <row r="274" ht="22.5" customHeight="1">
      <c r="A274" s="20"/>
      <c r="B274" s="20"/>
      <c r="C274" s="21"/>
      <c r="D274" s="20"/>
      <c r="E274" s="20"/>
      <c r="F274" s="20"/>
      <c r="G274" s="23"/>
      <c r="H274" s="23"/>
      <c r="I274" s="77"/>
      <c r="J274" s="23"/>
      <c r="K274" s="23"/>
      <c r="L274" s="23"/>
      <c r="M274" s="32"/>
      <c r="N274" s="32"/>
      <c r="O274" s="32"/>
      <c r="P274" s="23"/>
      <c r="Q274" s="77"/>
      <c r="R274" s="95"/>
      <c r="S274" s="54"/>
      <c r="T274" s="84"/>
      <c r="U274" s="33"/>
      <c r="V274" s="23"/>
      <c r="W274" s="31"/>
      <c r="X274" s="31"/>
      <c r="Y274" s="65"/>
    </row>
    <row r="275" ht="22.5" customHeight="1">
      <c r="A275" s="20"/>
      <c r="B275" s="20"/>
      <c r="C275" s="21"/>
      <c r="D275" s="20"/>
      <c r="E275" s="20"/>
      <c r="F275" s="20"/>
      <c r="G275" s="23"/>
      <c r="H275" s="23"/>
      <c r="I275" s="77"/>
      <c r="J275" s="23"/>
      <c r="K275" s="23"/>
      <c r="L275" s="23"/>
      <c r="M275" s="32"/>
      <c r="N275" s="32"/>
      <c r="O275" s="32"/>
      <c r="P275" s="23"/>
      <c r="Q275" s="77"/>
      <c r="R275" s="95"/>
      <c r="S275" s="54"/>
      <c r="T275" s="84"/>
      <c r="U275" s="33"/>
      <c r="V275" s="23"/>
      <c r="W275" s="31"/>
      <c r="X275" s="31"/>
      <c r="Y275" s="65"/>
    </row>
    <row r="276" ht="22.5" customHeight="1">
      <c r="A276" s="20"/>
      <c r="B276" s="20"/>
      <c r="C276" s="21"/>
      <c r="D276" s="20"/>
      <c r="E276" s="20"/>
      <c r="F276" s="20"/>
      <c r="G276" s="23"/>
      <c r="H276" s="23"/>
      <c r="I276" s="77"/>
      <c r="J276" s="23"/>
      <c r="K276" s="23"/>
      <c r="L276" s="23"/>
      <c r="M276" s="32"/>
      <c r="N276" s="32"/>
      <c r="O276" s="32"/>
      <c r="P276" s="23"/>
      <c r="Q276" s="77"/>
      <c r="R276" s="95"/>
      <c r="S276" s="54"/>
      <c r="T276" s="84"/>
      <c r="U276" s="33"/>
      <c r="V276" s="23"/>
      <c r="W276" s="31"/>
      <c r="X276" s="31"/>
      <c r="Y276" s="65"/>
    </row>
    <row r="277" ht="22.5" customHeight="1">
      <c r="A277" s="20"/>
      <c r="B277" s="20"/>
      <c r="C277" s="21"/>
      <c r="D277" s="20"/>
      <c r="E277" s="20"/>
      <c r="F277" s="20"/>
      <c r="G277" s="23"/>
      <c r="H277" s="23"/>
      <c r="I277" s="77"/>
      <c r="J277" s="23"/>
      <c r="K277" s="23"/>
      <c r="L277" s="23"/>
      <c r="M277" s="32"/>
      <c r="N277" s="32"/>
      <c r="O277" s="32"/>
      <c r="P277" s="23"/>
      <c r="Q277" s="77"/>
      <c r="R277" s="95"/>
      <c r="S277" s="54"/>
      <c r="T277" s="84"/>
      <c r="U277" s="33"/>
      <c r="V277" s="23"/>
      <c r="W277" s="31"/>
      <c r="X277" s="31"/>
      <c r="Y277" s="65"/>
    </row>
    <row r="278" ht="22.5" customHeight="1">
      <c r="A278" s="20"/>
      <c r="B278" s="20"/>
      <c r="C278" s="21"/>
      <c r="D278" s="20"/>
      <c r="E278" s="20"/>
      <c r="F278" s="20"/>
      <c r="G278" s="23"/>
      <c r="H278" s="23"/>
      <c r="I278" s="77"/>
      <c r="J278" s="23"/>
      <c r="K278" s="23"/>
      <c r="L278" s="23"/>
      <c r="M278" s="32"/>
      <c r="N278" s="32"/>
      <c r="O278" s="32"/>
      <c r="P278" s="23"/>
      <c r="Q278" s="77"/>
      <c r="R278" s="95"/>
      <c r="S278" s="54"/>
      <c r="T278" s="84"/>
      <c r="U278" s="33"/>
      <c r="V278" s="23"/>
      <c r="W278" s="31"/>
      <c r="X278" s="31"/>
      <c r="Y278" s="65"/>
    </row>
    <row r="279" ht="22.5" customHeight="1">
      <c r="A279" s="20"/>
      <c r="B279" s="20"/>
      <c r="C279" s="21"/>
      <c r="D279" s="20"/>
      <c r="E279" s="20"/>
      <c r="F279" s="20"/>
      <c r="G279" s="23"/>
      <c r="H279" s="23"/>
      <c r="I279" s="77"/>
      <c r="J279" s="23"/>
      <c r="K279" s="23"/>
      <c r="L279" s="23"/>
      <c r="M279" s="32"/>
      <c r="N279" s="32"/>
      <c r="O279" s="32"/>
      <c r="P279" s="23"/>
      <c r="Q279" s="77"/>
      <c r="R279" s="95"/>
      <c r="S279" s="54"/>
      <c r="T279" s="84"/>
      <c r="U279" s="33"/>
      <c r="V279" s="23"/>
      <c r="W279" s="31"/>
      <c r="X279" s="31"/>
      <c r="Y279" s="65"/>
    </row>
    <row r="280" ht="22.5" customHeight="1">
      <c r="A280" s="20"/>
      <c r="B280" s="20"/>
      <c r="C280" s="21"/>
      <c r="D280" s="20"/>
      <c r="E280" s="20"/>
      <c r="F280" s="20"/>
      <c r="G280" s="23"/>
      <c r="H280" s="23"/>
      <c r="I280" s="77"/>
      <c r="J280" s="23"/>
      <c r="K280" s="23"/>
      <c r="L280" s="23"/>
      <c r="M280" s="32"/>
      <c r="N280" s="32"/>
      <c r="O280" s="32"/>
      <c r="P280" s="23"/>
      <c r="Q280" s="77"/>
      <c r="R280" s="95"/>
      <c r="S280" s="54"/>
      <c r="T280" s="84"/>
      <c r="U280" s="33"/>
      <c r="V280" s="23"/>
      <c r="W280" s="31"/>
      <c r="X280" s="31"/>
      <c r="Y280" s="65"/>
    </row>
    <row r="281" ht="22.5" customHeight="1">
      <c r="A281" s="20"/>
      <c r="B281" s="20"/>
      <c r="C281" s="21"/>
      <c r="D281" s="20"/>
      <c r="E281" s="20"/>
      <c r="F281" s="20"/>
      <c r="G281" s="23"/>
      <c r="H281" s="23"/>
      <c r="I281" s="77"/>
      <c r="J281" s="23"/>
      <c r="K281" s="23"/>
      <c r="L281" s="23"/>
      <c r="M281" s="32"/>
      <c r="N281" s="32"/>
      <c r="O281" s="32"/>
      <c r="P281" s="23"/>
      <c r="Q281" s="77"/>
      <c r="R281" s="95"/>
      <c r="S281" s="54"/>
      <c r="T281" s="84"/>
      <c r="U281" s="33"/>
      <c r="V281" s="23"/>
      <c r="W281" s="31"/>
      <c r="X281" s="31"/>
      <c r="Y281" s="65"/>
    </row>
    <row r="282" ht="22.5" customHeight="1">
      <c r="A282" s="20"/>
      <c r="B282" s="20"/>
      <c r="C282" s="21"/>
      <c r="D282" s="20"/>
      <c r="E282" s="20"/>
      <c r="F282" s="20"/>
      <c r="G282" s="23"/>
      <c r="H282" s="23"/>
      <c r="I282" s="77"/>
      <c r="J282" s="23"/>
      <c r="K282" s="23"/>
      <c r="L282" s="23"/>
      <c r="M282" s="32"/>
      <c r="N282" s="32"/>
      <c r="O282" s="32"/>
      <c r="P282" s="23"/>
      <c r="Q282" s="77"/>
      <c r="R282" s="95"/>
      <c r="S282" s="54"/>
      <c r="T282" s="84"/>
      <c r="U282" s="33"/>
      <c r="V282" s="23"/>
      <c r="W282" s="31"/>
      <c r="X282" s="31"/>
      <c r="Y282" s="65"/>
    </row>
    <row r="283" ht="22.5" customHeight="1">
      <c r="A283" s="20"/>
      <c r="B283" s="20"/>
      <c r="C283" s="21"/>
      <c r="D283" s="20"/>
      <c r="E283" s="20"/>
      <c r="F283" s="20"/>
      <c r="G283" s="23"/>
      <c r="H283" s="23"/>
      <c r="I283" s="77"/>
      <c r="J283" s="23"/>
      <c r="K283" s="23"/>
      <c r="L283" s="23"/>
      <c r="M283" s="32"/>
      <c r="N283" s="32"/>
      <c r="O283" s="32"/>
      <c r="P283" s="23"/>
      <c r="Q283" s="77"/>
      <c r="R283" s="95"/>
      <c r="S283" s="54"/>
      <c r="T283" s="84"/>
      <c r="U283" s="33"/>
      <c r="V283" s="23"/>
      <c r="W283" s="31"/>
      <c r="X283" s="31"/>
      <c r="Y283" s="65"/>
    </row>
    <row r="284" ht="22.5" customHeight="1">
      <c r="A284" s="20"/>
      <c r="B284" s="20"/>
      <c r="C284" s="21"/>
      <c r="D284" s="20"/>
      <c r="E284" s="20"/>
      <c r="F284" s="20"/>
      <c r="G284" s="23"/>
      <c r="H284" s="23"/>
      <c r="I284" s="77"/>
      <c r="J284" s="23"/>
      <c r="K284" s="23"/>
      <c r="L284" s="23"/>
      <c r="M284" s="32"/>
      <c r="N284" s="32"/>
      <c r="O284" s="32"/>
      <c r="P284" s="23"/>
      <c r="Q284" s="77"/>
      <c r="R284" s="95"/>
      <c r="S284" s="54"/>
      <c r="T284" s="84"/>
      <c r="U284" s="33"/>
      <c r="V284" s="23"/>
      <c r="W284" s="31"/>
      <c r="X284" s="31"/>
      <c r="Y284" s="65"/>
    </row>
    <row r="285" ht="22.5" customHeight="1">
      <c r="A285" s="20"/>
      <c r="B285" s="20"/>
      <c r="C285" s="21"/>
      <c r="D285" s="20"/>
      <c r="E285" s="20"/>
      <c r="F285" s="20"/>
      <c r="G285" s="23"/>
      <c r="H285" s="23"/>
      <c r="I285" s="77"/>
      <c r="J285" s="23"/>
      <c r="K285" s="23"/>
      <c r="L285" s="23"/>
      <c r="M285" s="32"/>
      <c r="N285" s="32"/>
      <c r="O285" s="32"/>
      <c r="P285" s="23"/>
      <c r="Q285" s="77"/>
      <c r="R285" s="95"/>
      <c r="S285" s="54"/>
      <c r="T285" s="84"/>
      <c r="U285" s="33"/>
      <c r="V285" s="23"/>
      <c r="W285" s="31"/>
      <c r="X285" s="31"/>
      <c r="Y285" s="65"/>
    </row>
    <row r="286" ht="22.5" customHeight="1">
      <c r="A286" s="20"/>
      <c r="B286" s="20"/>
      <c r="C286" s="21"/>
      <c r="D286" s="20"/>
      <c r="E286" s="20"/>
      <c r="F286" s="20"/>
      <c r="G286" s="23"/>
      <c r="H286" s="23"/>
      <c r="I286" s="77"/>
      <c r="J286" s="23"/>
      <c r="K286" s="23"/>
      <c r="L286" s="23"/>
      <c r="M286" s="32"/>
      <c r="N286" s="32"/>
      <c r="O286" s="32"/>
      <c r="P286" s="23"/>
      <c r="Q286" s="77"/>
      <c r="R286" s="95"/>
      <c r="S286" s="54"/>
      <c r="T286" s="84"/>
      <c r="U286" s="33"/>
      <c r="V286" s="23"/>
      <c r="W286" s="31"/>
      <c r="X286" s="31"/>
      <c r="Y286" s="65"/>
    </row>
    <row r="287" ht="22.5" customHeight="1">
      <c r="A287" s="20"/>
      <c r="B287" s="20"/>
      <c r="C287" s="21"/>
      <c r="D287" s="20"/>
      <c r="E287" s="20"/>
      <c r="F287" s="20"/>
      <c r="G287" s="23"/>
      <c r="H287" s="23"/>
      <c r="I287" s="77"/>
      <c r="J287" s="23"/>
      <c r="K287" s="23"/>
      <c r="L287" s="23"/>
      <c r="M287" s="32"/>
      <c r="N287" s="32"/>
      <c r="O287" s="32"/>
      <c r="P287" s="23"/>
      <c r="Q287" s="77"/>
      <c r="R287" s="95"/>
      <c r="S287" s="54"/>
      <c r="T287" s="84"/>
      <c r="U287" s="33"/>
      <c r="V287" s="23"/>
      <c r="W287" s="31"/>
      <c r="X287" s="31"/>
      <c r="Y287" s="65"/>
    </row>
    <row r="288" ht="22.5" customHeight="1">
      <c r="A288" s="20"/>
      <c r="B288" s="20"/>
      <c r="C288" s="21"/>
      <c r="D288" s="20"/>
      <c r="E288" s="20"/>
      <c r="F288" s="20"/>
      <c r="G288" s="23"/>
      <c r="H288" s="23"/>
      <c r="I288" s="77"/>
      <c r="J288" s="23"/>
      <c r="K288" s="23"/>
      <c r="L288" s="23"/>
      <c r="M288" s="32"/>
      <c r="N288" s="32"/>
      <c r="O288" s="32"/>
      <c r="P288" s="23"/>
      <c r="Q288" s="77"/>
      <c r="R288" s="95"/>
      <c r="S288" s="54"/>
      <c r="T288" s="84"/>
      <c r="U288" s="33"/>
      <c r="V288" s="23"/>
      <c r="W288" s="31"/>
      <c r="X288" s="31"/>
      <c r="Y288" s="65"/>
    </row>
    <row r="289" ht="22.5" customHeight="1">
      <c r="A289" s="20"/>
      <c r="B289" s="20"/>
      <c r="C289" s="21"/>
      <c r="D289" s="20"/>
      <c r="E289" s="20"/>
      <c r="F289" s="20"/>
      <c r="G289" s="23"/>
      <c r="H289" s="23"/>
      <c r="I289" s="77"/>
      <c r="J289" s="23"/>
      <c r="K289" s="23"/>
      <c r="L289" s="23"/>
      <c r="M289" s="32"/>
      <c r="N289" s="32"/>
      <c r="O289" s="32"/>
      <c r="P289" s="23"/>
      <c r="Q289" s="77"/>
      <c r="R289" s="95"/>
      <c r="S289" s="54"/>
      <c r="T289" s="84"/>
      <c r="U289" s="33"/>
      <c r="V289" s="23"/>
      <c r="W289" s="31"/>
      <c r="X289" s="31"/>
      <c r="Y289" s="65"/>
    </row>
    <row r="290" ht="22.5" customHeight="1">
      <c r="A290" s="20"/>
      <c r="B290" s="20"/>
      <c r="C290" s="21"/>
      <c r="D290" s="20"/>
      <c r="E290" s="20"/>
      <c r="F290" s="20"/>
      <c r="G290" s="23"/>
      <c r="H290" s="23"/>
      <c r="I290" s="77"/>
      <c r="J290" s="23"/>
      <c r="K290" s="23"/>
      <c r="L290" s="23"/>
      <c r="M290" s="32"/>
      <c r="N290" s="32"/>
      <c r="O290" s="32"/>
      <c r="P290" s="23"/>
      <c r="Q290" s="77"/>
      <c r="R290" s="95"/>
      <c r="S290" s="54"/>
      <c r="T290" s="84"/>
      <c r="U290" s="33"/>
      <c r="V290" s="23"/>
      <c r="W290" s="31"/>
      <c r="X290" s="31"/>
      <c r="Y290" s="65"/>
    </row>
    <row r="291" ht="22.5" customHeight="1">
      <c r="A291" s="20"/>
      <c r="B291" s="20"/>
      <c r="C291" s="21"/>
      <c r="D291" s="20"/>
      <c r="E291" s="20"/>
      <c r="F291" s="20"/>
      <c r="G291" s="23"/>
      <c r="H291" s="23"/>
      <c r="I291" s="77"/>
      <c r="J291" s="23"/>
      <c r="K291" s="23"/>
      <c r="L291" s="23"/>
      <c r="M291" s="32"/>
      <c r="N291" s="32"/>
      <c r="O291" s="32"/>
      <c r="P291" s="23"/>
      <c r="Q291" s="77"/>
      <c r="R291" s="95"/>
      <c r="S291" s="54"/>
      <c r="T291" s="84"/>
      <c r="U291" s="33"/>
      <c r="V291" s="23"/>
      <c r="W291" s="31"/>
      <c r="X291" s="31"/>
      <c r="Y291" s="65"/>
    </row>
    <row r="292" ht="22.5" customHeight="1">
      <c r="A292" s="20"/>
      <c r="B292" s="20"/>
      <c r="C292" s="21"/>
      <c r="D292" s="20"/>
      <c r="E292" s="20"/>
      <c r="F292" s="20"/>
      <c r="G292" s="23"/>
      <c r="H292" s="23"/>
      <c r="I292" s="77"/>
      <c r="J292" s="23"/>
      <c r="K292" s="23"/>
      <c r="L292" s="23"/>
      <c r="M292" s="32"/>
      <c r="N292" s="32"/>
      <c r="O292" s="32"/>
      <c r="P292" s="23"/>
      <c r="Q292" s="77"/>
      <c r="R292" s="95"/>
      <c r="S292" s="54"/>
      <c r="T292" s="84"/>
      <c r="U292" s="33"/>
      <c r="V292" s="23"/>
      <c r="W292" s="31"/>
      <c r="X292" s="31"/>
      <c r="Y292" s="65"/>
    </row>
    <row r="293" ht="22.5" customHeight="1">
      <c r="A293" s="20"/>
      <c r="B293" s="20"/>
      <c r="C293" s="21"/>
      <c r="D293" s="20"/>
      <c r="E293" s="20"/>
      <c r="F293" s="20"/>
      <c r="G293" s="23"/>
      <c r="H293" s="23"/>
      <c r="I293" s="77"/>
      <c r="J293" s="23"/>
      <c r="K293" s="23"/>
      <c r="L293" s="23"/>
      <c r="M293" s="32"/>
      <c r="N293" s="32"/>
      <c r="O293" s="32"/>
      <c r="P293" s="23"/>
      <c r="Q293" s="77"/>
      <c r="R293" s="95"/>
      <c r="S293" s="54"/>
      <c r="T293" s="84"/>
      <c r="U293" s="33"/>
      <c r="V293" s="23"/>
      <c r="W293" s="31"/>
      <c r="X293" s="31"/>
      <c r="Y293" s="65"/>
    </row>
    <row r="294" ht="22.5" customHeight="1">
      <c r="A294" s="20"/>
      <c r="B294" s="20"/>
      <c r="C294" s="21"/>
      <c r="D294" s="20"/>
      <c r="E294" s="20"/>
      <c r="F294" s="20"/>
      <c r="G294" s="23"/>
      <c r="H294" s="23"/>
      <c r="I294" s="77"/>
      <c r="J294" s="23"/>
      <c r="K294" s="23"/>
      <c r="L294" s="23"/>
      <c r="M294" s="32"/>
      <c r="N294" s="32"/>
      <c r="O294" s="32"/>
      <c r="P294" s="23"/>
      <c r="Q294" s="77"/>
      <c r="R294" s="95"/>
      <c r="S294" s="54"/>
      <c r="T294" s="84"/>
      <c r="U294" s="33"/>
      <c r="V294" s="23"/>
      <c r="W294" s="31"/>
      <c r="X294" s="31"/>
      <c r="Y294" s="65"/>
    </row>
    <row r="295" ht="22.5" customHeight="1">
      <c r="A295" s="20"/>
      <c r="B295" s="20"/>
      <c r="C295" s="21"/>
      <c r="D295" s="20"/>
      <c r="E295" s="20"/>
      <c r="F295" s="20"/>
      <c r="G295" s="23"/>
      <c r="H295" s="23"/>
      <c r="I295" s="77"/>
      <c r="J295" s="23"/>
      <c r="K295" s="23"/>
      <c r="L295" s="23"/>
      <c r="M295" s="32"/>
      <c r="N295" s="32"/>
      <c r="O295" s="32"/>
      <c r="P295" s="23"/>
      <c r="Q295" s="77"/>
      <c r="R295" s="95"/>
      <c r="S295" s="54"/>
      <c r="T295" s="84"/>
      <c r="U295" s="33"/>
      <c r="V295" s="23"/>
      <c r="W295" s="31"/>
      <c r="X295" s="31"/>
      <c r="Y295" s="65"/>
    </row>
    <row r="296" ht="22.5" customHeight="1">
      <c r="A296" s="20"/>
      <c r="B296" s="20"/>
      <c r="C296" s="21"/>
      <c r="D296" s="20"/>
      <c r="E296" s="20"/>
      <c r="F296" s="20"/>
      <c r="G296" s="23"/>
      <c r="H296" s="23"/>
      <c r="I296" s="77"/>
      <c r="J296" s="23"/>
      <c r="K296" s="23"/>
      <c r="L296" s="23"/>
      <c r="M296" s="32"/>
      <c r="N296" s="32"/>
      <c r="O296" s="32"/>
      <c r="P296" s="23"/>
      <c r="Q296" s="77"/>
      <c r="R296" s="95"/>
      <c r="S296" s="54"/>
      <c r="T296" s="84"/>
      <c r="U296" s="33"/>
      <c r="V296" s="23"/>
      <c r="W296" s="31"/>
      <c r="X296" s="31"/>
      <c r="Y296" s="65"/>
    </row>
    <row r="297" ht="22.5" customHeight="1">
      <c r="A297" s="20"/>
      <c r="B297" s="20"/>
      <c r="C297" s="21"/>
      <c r="D297" s="20"/>
      <c r="E297" s="20"/>
      <c r="F297" s="20"/>
      <c r="G297" s="23"/>
      <c r="H297" s="23"/>
      <c r="I297" s="77"/>
      <c r="J297" s="23"/>
      <c r="K297" s="23"/>
      <c r="L297" s="23"/>
      <c r="M297" s="32"/>
      <c r="N297" s="32"/>
      <c r="O297" s="32"/>
      <c r="P297" s="23"/>
      <c r="Q297" s="77"/>
      <c r="R297" s="95"/>
      <c r="S297" s="54"/>
      <c r="T297" s="84"/>
      <c r="U297" s="33"/>
      <c r="V297" s="23"/>
      <c r="W297" s="31"/>
      <c r="X297" s="31"/>
      <c r="Y297" s="65"/>
    </row>
    <row r="298" ht="22.5" customHeight="1">
      <c r="A298" s="20"/>
      <c r="B298" s="20"/>
      <c r="C298" s="21"/>
      <c r="D298" s="20"/>
      <c r="E298" s="20"/>
      <c r="F298" s="20"/>
      <c r="G298" s="23"/>
      <c r="H298" s="23"/>
      <c r="I298" s="77"/>
      <c r="J298" s="23"/>
      <c r="K298" s="23"/>
      <c r="L298" s="23"/>
      <c r="M298" s="32"/>
      <c r="N298" s="32"/>
      <c r="O298" s="32"/>
      <c r="P298" s="23"/>
      <c r="Q298" s="77"/>
      <c r="R298" s="95"/>
      <c r="S298" s="54"/>
      <c r="T298" s="84"/>
      <c r="U298" s="33"/>
      <c r="V298" s="23"/>
      <c r="W298" s="31"/>
      <c r="X298" s="31"/>
      <c r="Y298" s="65"/>
    </row>
    <row r="299" ht="22.5" customHeight="1">
      <c r="A299" s="20"/>
      <c r="B299" s="20"/>
      <c r="C299" s="21"/>
      <c r="D299" s="20"/>
      <c r="E299" s="20"/>
      <c r="F299" s="20"/>
      <c r="G299" s="23"/>
      <c r="H299" s="23"/>
      <c r="I299" s="77"/>
      <c r="J299" s="23"/>
      <c r="K299" s="23"/>
      <c r="L299" s="23"/>
      <c r="M299" s="32"/>
      <c r="N299" s="32"/>
      <c r="O299" s="32"/>
      <c r="P299" s="23"/>
      <c r="Q299" s="77"/>
      <c r="R299" s="95"/>
      <c r="S299" s="54"/>
      <c r="T299" s="84"/>
      <c r="U299" s="33"/>
      <c r="V299" s="23"/>
      <c r="W299" s="31"/>
      <c r="X299" s="31"/>
      <c r="Y299" s="65"/>
    </row>
    <row r="300" ht="22.5" customHeight="1">
      <c r="A300" s="20"/>
      <c r="B300" s="20"/>
      <c r="C300" s="21"/>
      <c r="D300" s="20"/>
      <c r="E300" s="20"/>
      <c r="F300" s="20"/>
      <c r="G300" s="23"/>
      <c r="H300" s="23"/>
      <c r="I300" s="77"/>
      <c r="J300" s="23"/>
      <c r="K300" s="23"/>
      <c r="L300" s="23"/>
      <c r="M300" s="32"/>
      <c r="N300" s="32"/>
      <c r="O300" s="32"/>
      <c r="P300" s="23"/>
      <c r="Q300" s="77"/>
      <c r="R300" s="95"/>
      <c r="S300" s="54"/>
      <c r="T300" s="84"/>
      <c r="U300" s="33"/>
      <c r="V300" s="23"/>
      <c r="W300" s="31"/>
      <c r="X300" s="31"/>
      <c r="Y300" s="65"/>
    </row>
    <row r="301" ht="22.5" customHeight="1">
      <c r="A301" s="20"/>
      <c r="B301" s="20"/>
      <c r="C301" s="21"/>
      <c r="D301" s="20"/>
      <c r="E301" s="20"/>
      <c r="F301" s="20"/>
      <c r="G301" s="23"/>
      <c r="H301" s="23"/>
      <c r="I301" s="77"/>
      <c r="J301" s="23"/>
      <c r="K301" s="23"/>
      <c r="L301" s="23"/>
      <c r="M301" s="32"/>
      <c r="N301" s="32"/>
      <c r="O301" s="32"/>
      <c r="P301" s="23"/>
      <c r="Q301" s="77"/>
      <c r="R301" s="95"/>
      <c r="S301" s="54"/>
      <c r="T301" s="84"/>
      <c r="U301" s="33"/>
      <c r="V301" s="23"/>
      <c r="W301" s="31"/>
      <c r="X301" s="31"/>
      <c r="Y301" s="65"/>
    </row>
    <row r="302" ht="22.5" customHeight="1">
      <c r="A302" s="20"/>
      <c r="B302" s="20"/>
      <c r="C302" s="21"/>
      <c r="D302" s="20"/>
      <c r="E302" s="20"/>
      <c r="F302" s="20"/>
      <c r="G302" s="23"/>
      <c r="H302" s="23"/>
      <c r="I302" s="77"/>
      <c r="J302" s="23"/>
      <c r="K302" s="23"/>
      <c r="L302" s="23"/>
      <c r="M302" s="32"/>
      <c r="N302" s="32"/>
      <c r="O302" s="32"/>
      <c r="P302" s="23"/>
      <c r="Q302" s="77"/>
      <c r="R302" s="95"/>
      <c r="S302" s="54"/>
      <c r="T302" s="84"/>
      <c r="U302" s="33"/>
      <c r="V302" s="23"/>
      <c r="W302" s="31"/>
      <c r="X302" s="31"/>
      <c r="Y302" s="65"/>
    </row>
    <row r="303" ht="22.5" customHeight="1">
      <c r="A303" s="20"/>
      <c r="B303" s="20"/>
      <c r="C303" s="21"/>
      <c r="D303" s="20"/>
      <c r="E303" s="20"/>
      <c r="F303" s="20"/>
      <c r="G303" s="23"/>
      <c r="H303" s="23"/>
      <c r="I303" s="77"/>
      <c r="J303" s="23"/>
      <c r="K303" s="23"/>
      <c r="L303" s="23"/>
      <c r="M303" s="32"/>
      <c r="N303" s="32"/>
      <c r="O303" s="32"/>
      <c r="P303" s="23"/>
      <c r="Q303" s="77"/>
      <c r="R303" s="95"/>
      <c r="S303" s="54"/>
      <c r="T303" s="84"/>
      <c r="U303" s="33"/>
      <c r="V303" s="23"/>
      <c r="W303" s="31"/>
      <c r="X303" s="31"/>
      <c r="Y303" s="65"/>
    </row>
    <row r="304" ht="22.5" customHeight="1">
      <c r="A304" s="20"/>
      <c r="B304" s="20"/>
      <c r="C304" s="21"/>
      <c r="D304" s="20"/>
      <c r="E304" s="20"/>
      <c r="F304" s="20"/>
      <c r="G304" s="23"/>
      <c r="H304" s="23"/>
      <c r="I304" s="77"/>
      <c r="J304" s="23"/>
      <c r="K304" s="23"/>
      <c r="L304" s="23"/>
      <c r="M304" s="32"/>
      <c r="N304" s="32"/>
      <c r="O304" s="32"/>
      <c r="P304" s="23"/>
      <c r="Q304" s="77"/>
      <c r="R304" s="95"/>
      <c r="S304" s="54"/>
      <c r="T304" s="84"/>
      <c r="U304" s="33"/>
      <c r="V304" s="23"/>
      <c r="W304" s="31"/>
      <c r="X304" s="31"/>
      <c r="Y304" s="65"/>
    </row>
    <row r="305" ht="22.5" customHeight="1">
      <c r="A305" s="20"/>
      <c r="B305" s="20"/>
      <c r="C305" s="21"/>
      <c r="D305" s="20"/>
      <c r="E305" s="20"/>
      <c r="F305" s="20"/>
      <c r="G305" s="23"/>
      <c r="H305" s="23"/>
      <c r="I305" s="77"/>
      <c r="J305" s="23"/>
      <c r="K305" s="23"/>
      <c r="L305" s="23"/>
      <c r="M305" s="32"/>
      <c r="N305" s="32"/>
      <c r="O305" s="32"/>
      <c r="P305" s="23"/>
      <c r="Q305" s="77"/>
      <c r="R305" s="95"/>
      <c r="S305" s="54"/>
      <c r="T305" s="84"/>
      <c r="U305" s="33"/>
      <c r="V305" s="23"/>
      <c r="W305" s="31"/>
      <c r="X305" s="31"/>
      <c r="Y305" s="65"/>
    </row>
    <row r="306" ht="22.5" customHeight="1">
      <c r="A306" s="20"/>
      <c r="B306" s="20"/>
      <c r="C306" s="21"/>
      <c r="D306" s="20"/>
      <c r="E306" s="20"/>
      <c r="F306" s="20"/>
      <c r="G306" s="23"/>
      <c r="H306" s="23"/>
      <c r="I306" s="77"/>
      <c r="J306" s="23"/>
      <c r="K306" s="23"/>
      <c r="L306" s="23"/>
      <c r="M306" s="32"/>
      <c r="N306" s="32"/>
      <c r="O306" s="32"/>
      <c r="P306" s="23"/>
      <c r="Q306" s="77"/>
      <c r="R306" s="95"/>
      <c r="S306" s="54"/>
      <c r="T306" s="84"/>
      <c r="U306" s="33"/>
      <c r="V306" s="23"/>
      <c r="W306" s="31"/>
      <c r="X306" s="31"/>
      <c r="Y306" s="65"/>
    </row>
    <row r="307" ht="22.5" customHeight="1">
      <c r="A307" s="20"/>
      <c r="B307" s="20"/>
      <c r="C307" s="21"/>
      <c r="D307" s="20"/>
      <c r="E307" s="20"/>
      <c r="F307" s="20"/>
      <c r="G307" s="23"/>
      <c r="H307" s="23"/>
      <c r="I307" s="77"/>
      <c r="J307" s="23"/>
      <c r="K307" s="23"/>
      <c r="L307" s="23"/>
      <c r="M307" s="32"/>
      <c r="N307" s="32"/>
      <c r="O307" s="32"/>
      <c r="P307" s="23"/>
      <c r="Q307" s="77"/>
      <c r="R307" s="95"/>
      <c r="S307" s="54"/>
      <c r="T307" s="84"/>
      <c r="U307" s="33"/>
      <c r="V307" s="23"/>
      <c r="W307" s="31"/>
      <c r="X307" s="31"/>
      <c r="Y307" s="65"/>
    </row>
    <row r="308" ht="22.5" customHeight="1">
      <c r="A308" s="20"/>
      <c r="B308" s="20"/>
      <c r="C308" s="21"/>
      <c r="D308" s="20"/>
      <c r="E308" s="20"/>
      <c r="F308" s="20"/>
      <c r="G308" s="23"/>
      <c r="H308" s="23"/>
      <c r="I308" s="77"/>
      <c r="J308" s="23"/>
      <c r="K308" s="23"/>
      <c r="L308" s="23"/>
      <c r="M308" s="32"/>
      <c r="N308" s="32"/>
      <c r="O308" s="32"/>
      <c r="P308" s="23"/>
      <c r="Q308" s="77"/>
      <c r="R308" s="95"/>
      <c r="S308" s="54"/>
      <c r="T308" s="84"/>
      <c r="U308" s="33"/>
      <c r="V308" s="23"/>
      <c r="W308" s="31"/>
      <c r="X308" s="31"/>
      <c r="Y308" s="65"/>
    </row>
    <row r="309" ht="22.5" customHeight="1">
      <c r="A309" s="20"/>
      <c r="B309" s="20"/>
      <c r="C309" s="21"/>
      <c r="D309" s="20"/>
      <c r="E309" s="20"/>
      <c r="F309" s="20"/>
      <c r="G309" s="23"/>
      <c r="H309" s="23"/>
      <c r="I309" s="77"/>
      <c r="J309" s="23"/>
      <c r="K309" s="23"/>
      <c r="L309" s="23"/>
      <c r="M309" s="32"/>
      <c r="N309" s="32"/>
      <c r="O309" s="32"/>
      <c r="P309" s="23"/>
      <c r="Q309" s="77"/>
      <c r="R309" s="95"/>
      <c r="S309" s="54"/>
      <c r="T309" s="84"/>
      <c r="U309" s="33"/>
      <c r="V309" s="23"/>
      <c r="W309" s="31"/>
      <c r="X309" s="31"/>
      <c r="Y309" s="65"/>
    </row>
    <row r="310" ht="22.5" customHeight="1">
      <c r="A310" s="20"/>
      <c r="B310" s="20"/>
      <c r="C310" s="21"/>
      <c r="D310" s="20"/>
      <c r="E310" s="20"/>
      <c r="F310" s="20"/>
      <c r="G310" s="23"/>
      <c r="H310" s="23"/>
      <c r="I310" s="77"/>
      <c r="J310" s="23"/>
      <c r="K310" s="23"/>
      <c r="L310" s="23"/>
      <c r="M310" s="32"/>
      <c r="N310" s="32"/>
      <c r="O310" s="32"/>
      <c r="P310" s="23"/>
      <c r="Q310" s="77"/>
      <c r="R310" s="95"/>
      <c r="S310" s="54"/>
      <c r="T310" s="84"/>
      <c r="U310" s="33"/>
      <c r="V310" s="23"/>
      <c r="W310" s="31"/>
      <c r="X310" s="31"/>
      <c r="Y310" s="65"/>
    </row>
    <row r="311" ht="22.5" customHeight="1">
      <c r="A311" s="20"/>
      <c r="B311" s="20"/>
      <c r="C311" s="21"/>
      <c r="D311" s="20"/>
      <c r="E311" s="20"/>
      <c r="F311" s="20"/>
      <c r="G311" s="23"/>
      <c r="H311" s="23"/>
      <c r="I311" s="77"/>
      <c r="J311" s="23"/>
      <c r="K311" s="23"/>
      <c r="L311" s="23"/>
      <c r="M311" s="32"/>
      <c r="N311" s="32"/>
      <c r="O311" s="32"/>
      <c r="P311" s="23"/>
      <c r="Q311" s="77"/>
      <c r="R311" s="95"/>
      <c r="S311" s="54"/>
      <c r="T311" s="84"/>
      <c r="U311" s="33"/>
      <c r="V311" s="23"/>
      <c r="W311" s="31"/>
      <c r="X311" s="31"/>
      <c r="Y311" s="65"/>
    </row>
    <row r="312" ht="22.5" customHeight="1">
      <c r="A312" s="20"/>
      <c r="B312" s="20"/>
      <c r="C312" s="21"/>
      <c r="D312" s="20"/>
      <c r="E312" s="20"/>
      <c r="F312" s="20"/>
      <c r="G312" s="23"/>
      <c r="H312" s="23"/>
      <c r="I312" s="77"/>
      <c r="J312" s="23"/>
      <c r="K312" s="23"/>
      <c r="L312" s="23"/>
      <c r="M312" s="32"/>
      <c r="N312" s="32"/>
      <c r="O312" s="32"/>
      <c r="P312" s="23"/>
      <c r="Q312" s="77"/>
      <c r="R312" s="95"/>
      <c r="S312" s="54"/>
      <c r="T312" s="84"/>
      <c r="U312" s="33"/>
      <c r="V312" s="23"/>
      <c r="W312" s="31"/>
      <c r="X312" s="31"/>
      <c r="Y312" s="65"/>
    </row>
    <row r="313" ht="22.5" customHeight="1">
      <c r="A313" s="20"/>
      <c r="B313" s="20"/>
      <c r="C313" s="21"/>
      <c r="D313" s="20"/>
      <c r="E313" s="20"/>
      <c r="F313" s="20"/>
      <c r="G313" s="23"/>
      <c r="H313" s="23"/>
      <c r="I313" s="77"/>
      <c r="J313" s="23"/>
      <c r="K313" s="23"/>
      <c r="L313" s="23"/>
      <c r="M313" s="32"/>
      <c r="N313" s="32"/>
      <c r="O313" s="32"/>
      <c r="P313" s="23"/>
      <c r="Q313" s="77"/>
      <c r="R313" s="95"/>
      <c r="S313" s="54"/>
      <c r="T313" s="84"/>
      <c r="U313" s="33"/>
      <c r="V313" s="23"/>
      <c r="W313" s="31"/>
      <c r="X313" s="31"/>
      <c r="Y313" s="65"/>
    </row>
    <row r="314" ht="22.5" customHeight="1">
      <c r="A314" s="20"/>
      <c r="B314" s="20"/>
      <c r="C314" s="21"/>
      <c r="D314" s="20"/>
      <c r="E314" s="20"/>
      <c r="F314" s="20"/>
      <c r="G314" s="23"/>
      <c r="H314" s="23"/>
      <c r="I314" s="77"/>
      <c r="J314" s="23"/>
      <c r="K314" s="23"/>
      <c r="L314" s="23"/>
      <c r="M314" s="32"/>
      <c r="N314" s="32"/>
      <c r="O314" s="32"/>
      <c r="P314" s="23"/>
      <c r="Q314" s="77"/>
      <c r="R314" s="95"/>
      <c r="S314" s="54"/>
      <c r="T314" s="84"/>
      <c r="U314" s="33"/>
      <c r="V314" s="23"/>
      <c r="W314" s="31"/>
      <c r="X314" s="31"/>
      <c r="Y314" s="65"/>
    </row>
    <row r="315" ht="22.5" customHeight="1">
      <c r="A315" s="20"/>
      <c r="B315" s="20"/>
      <c r="C315" s="21"/>
      <c r="D315" s="20"/>
      <c r="E315" s="20"/>
      <c r="F315" s="20"/>
      <c r="G315" s="23"/>
      <c r="H315" s="23"/>
      <c r="I315" s="77"/>
      <c r="J315" s="23"/>
      <c r="K315" s="23"/>
      <c r="L315" s="23"/>
      <c r="M315" s="32"/>
      <c r="N315" s="32"/>
      <c r="O315" s="32"/>
      <c r="P315" s="23"/>
      <c r="Q315" s="77"/>
      <c r="R315" s="95"/>
      <c r="S315" s="54"/>
      <c r="T315" s="84"/>
      <c r="U315" s="33"/>
      <c r="V315" s="23"/>
      <c r="W315" s="31"/>
      <c r="X315" s="31"/>
      <c r="Y315" s="65"/>
    </row>
  </sheetData>
  <dataValidations>
    <dataValidation type="list" allowBlank="1" sqref="I2:I315">
      <formula1>"Sales Area,GTM,SPB/SPG Toko,SPB/SPG MT,SPB/SPG Outlet,Host Live,Helper,Office Boy,Security"</formula1>
    </dataValidation>
    <dataValidation type="list" allowBlank="1" sqref="R2:R315">
      <formula1>"Khusus,70/30"</formula1>
    </dataValidation>
    <dataValidation type="custom" allowBlank="1" showDropDown="1" sqref="M2:M315 O2:O315">
      <formula1>OR(NOT(ISERROR(DATEVALUE(M2))), AND(ISNUMBER(M2), LEFT(CELL("format", M2))="D"))</formula1>
    </dataValidation>
    <dataValidation type="list" allowBlank="1" sqref="Q2:Q315">
      <formula1>"PT. Stein Perkasa Internasional,PT. Mahakarya Sukses Indonesia"</formula1>
    </dataValidation>
    <dataValidation type="custom" allowBlank="1" showDropDown="1" sqref="S2:U315 W2:X315">
      <formula1>AND(ISNUMBER(S2),(NOT(OR(NOT(ISERROR(DATEVALUE(S2))), AND(ISNUMBER(S2), LEFT(CELL("format", S2))="D")))))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75"/>
    <col customWidth="1" min="2" max="2" width="23.25"/>
    <col customWidth="1" min="3" max="3" width="13.25"/>
    <col customWidth="1" min="4" max="4" width="12.88"/>
    <col customWidth="1" min="5" max="5" width="47.5"/>
    <col customWidth="1" min="6" max="6" width="20.5"/>
    <col customWidth="1" min="7" max="7" width="8.63"/>
    <col customWidth="1" min="8" max="8" width="11.0"/>
    <col customWidth="1" min="9" max="9" width="19.75"/>
    <col customWidth="1" min="10" max="10" width="20.13"/>
    <col customWidth="1" min="11" max="11" width="22.0"/>
    <col customWidth="1" min="12" max="12" width="16.0"/>
    <col customWidth="1" min="13" max="13" width="13.38"/>
    <col customWidth="1" min="14" max="14" width="22.88"/>
    <col customWidth="1" min="15" max="15" width="17.63"/>
    <col customWidth="1" min="16" max="16" width="10.5"/>
    <col customWidth="1" min="17" max="17" width="14.75"/>
    <col customWidth="1" min="18" max="18" width="10.5"/>
    <col customWidth="1" min="19" max="19" width="25.5"/>
    <col customWidth="1" min="20" max="20" width="26.75"/>
    <col customWidth="1" min="21" max="21" width="17.75"/>
    <col customWidth="1" min="22" max="22" width="24.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19</v>
      </c>
      <c r="Q1" s="1" t="s">
        <v>21</v>
      </c>
      <c r="R1" s="1" t="s">
        <v>23</v>
      </c>
      <c r="S1" s="1" t="s">
        <v>25</v>
      </c>
      <c r="T1" s="1" t="s">
        <v>26</v>
      </c>
      <c r="U1" s="1" t="s">
        <v>28</v>
      </c>
      <c r="V1" s="1" t="s">
        <v>31</v>
      </c>
    </row>
    <row r="2">
      <c r="A2" s="6">
        <v>1.0</v>
      </c>
      <c r="B2" s="6" t="s">
        <v>20</v>
      </c>
      <c r="C2" s="6" t="s">
        <v>41</v>
      </c>
      <c r="D2" s="6" t="s">
        <v>42</v>
      </c>
      <c r="E2" s="6" t="s">
        <v>44</v>
      </c>
      <c r="F2" s="6" t="s">
        <v>47</v>
      </c>
      <c r="G2" s="6" t="s">
        <v>48</v>
      </c>
      <c r="H2" s="7">
        <v>43409.0</v>
      </c>
      <c r="I2" s="7">
        <v>46265.0</v>
      </c>
      <c r="J2" s="6">
        <v>28.0</v>
      </c>
      <c r="K2" s="6">
        <v>26.0</v>
      </c>
      <c r="M2" s="8">
        <v>5729876.0</v>
      </c>
      <c r="N2" s="9">
        <v>0.0</v>
      </c>
      <c r="O2" s="9">
        <v>15000.0</v>
      </c>
      <c r="P2" s="9">
        <v>660000.0</v>
      </c>
      <c r="R2" s="6" t="e">
        <v>#VALUE!</v>
      </c>
      <c r="S2" s="6" t="s">
        <v>71</v>
      </c>
      <c r="T2" s="6" t="s">
        <v>73</v>
      </c>
    </row>
    <row r="3">
      <c r="A3" s="6">
        <v>2.0</v>
      </c>
      <c r="B3" s="6" t="s">
        <v>29</v>
      </c>
      <c r="C3" s="6" t="s">
        <v>41</v>
      </c>
      <c r="D3" s="6" t="s">
        <v>78</v>
      </c>
      <c r="E3" s="6" t="s">
        <v>80</v>
      </c>
      <c r="F3" s="6" t="s">
        <v>47</v>
      </c>
      <c r="G3" s="6" t="s">
        <v>48</v>
      </c>
      <c r="H3" s="7">
        <v>42826.0</v>
      </c>
      <c r="I3" s="7">
        <v>46265.0</v>
      </c>
      <c r="J3" s="6">
        <v>30.0</v>
      </c>
      <c r="K3" s="6">
        <v>26.0</v>
      </c>
      <c r="M3" s="8">
        <v>3855894.0</v>
      </c>
      <c r="N3" s="9">
        <v>0.0</v>
      </c>
      <c r="O3" s="9">
        <v>15000.0</v>
      </c>
      <c r="R3" s="6" t="e">
        <v>#VALUE!</v>
      </c>
      <c r="S3" s="6" t="s">
        <v>87</v>
      </c>
    </row>
    <row r="4">
      <c r="A4" s="6">
        <v>3.0</v>
      </c>
      <c r="B4" s="6" t="s">
        <v>89</v>
      </c>
      <c r="C4" s="6" t="s">
        <v>41</v>
      </c>
      <c r="D4" s="6" t="s">
        <v>78</v>
      </c>
      <c r="E4" s="6" t="s">
        <v>80</v>
      </c>
      <c r="F4" s="6" t="s">
        <v>47</v>
      </c>
      <c r="G4" s="6" t="s">
        <v>48</v>
      </c>
      <c r="H4" s="7">
        <v>42815.0</v>
      </c>
      <c r="I4" s="7">
        <v>46265.0</v>
      </c>
      <c r="J4" s="6">
        <v>30.0</v>
      </c>
      <c r="K4" s="6">
        <v>26.0</v>
      </c>
      <c r="M4" s="8">
        <v>3855894.0</v>
      </c>
      <c r="N4" s="9">
        <v>0.0</v>
      </c>
      <c r="O4" s="9">
        <v>15000.0</v>
      </c>
      <c r="P4" s="9">
        <v>1905000.0</v>
      </c>
      <c r="R4" s="9">
        <v>2579108.0</v>
      </c>
      <c r="S4" s="6" t="s">
        <v>87</v>
      </c>
    </row>
    <row r="5">
      <c r="A5" s="6">
        <v>4.0</v>
      </c>
      <c r="B5" s="6" t="s">
        <v>98</v>
      </c>
      <c r="C5" s="6" t="s">
        <v>41</v>
      </c>
      <c r="D5" s="6" t="s">
        <v>100</v>
      </c>
      <c r="E5" s="6" t="s">
        <v>101</v>
      </c>
      <c r="F5" s="6" t="s">
        <v>47</v>
      </c>
      <c r="G5" s="6" t="s">
        <v>48</v>
      </c>
      <c r="H5" s="7">
        <v>43440.0</v>
      </c>
      <c r="I5" s="7">
        <v>46265.0</v>
      </c>
      <c r="J5" s="6">
        <v>27.0</v>
      </c>
      <c r="K5" s="6">
        <v>26.0</v>
      </c>
      <c r="M5" s="8">
        <v>4148179.0</v>
      </c>
      <c r="N5" s="9">
        <v>0.0</v>
      </c>
      <c r="O5" s="9">
        <v>15000.0</v>
      </c>
      <c r="R5" s="6" t="e">
        <v>#VALUE!</v>
      </c>
      <c r="S5" s="6" t="s">
        <v>105</v>
      </c>
    </row>
    <row r="6">
      <c r="A6" s="6">
        <v>5.0</v>
      </c>
      <c r="B6" s="6" t="s">
        <v>107</v>
      </c>
      <c r="C6" s="6" t="s">
        <v>41</v>
      </c>
      <c r="D6" s="6" t="s">
        <v>108</v>
      </c>
      <c r="E6" s="6" t="s">
        <v>110</v>
      </c>
      <c r="F6" s="6" t="s">
        <v>47</v>
      </c>
      <c r="G6" s="6" t="s">
        <v>48</v>
      </c>
      <c r="H6" s="7">
        <v>42962.0</v>
      </c>
      <c r="I6" s="7">
        <v>46258.0</v>
      </c>
      <c r="J6" s="6">
        <v>27.0</v>
      </c>
      <c r="K6" s="6">
        <v>26.0</v>
      </c>
      <c r="M6" s="8">
        <v>4192837.0</v>
      </c>
      <c r="N6" s="9">
        <v>0.0</v>
      </c>
      <c r="O6" s="9">
        <v>15000.0</v>
      </c>
      <c r="R6" s="6" t="e">
        <v>#VALUE!</v>
      </c>
      <c r="S6" s="6" t="s">
        <v>114</v>
      </c>
    </row>
    <row r="7">
      <c r="A7" s="6">
        <v>6.0</v>
      </c>
      <c r="B7" s="6" t="s">
        <v>33</v>
      </c>
      <c r="C7" s="6" t="s">
        <v>41</v>
      </c>
      <c r="D7" s="6" t="s">
        <v>115</v>
      </c>
      <c r="E7" s="6" t="s">
        <v>116</v>
      </c>
      <c r="F7" s="6" t="s">
        <v>47</v>
      </c>
      <c r="G7" s="6" t="s">
        <v>48</v>
      </c>
      <c r="H7" s="7">
        <v>43777.0</v>
      </c>
      <c r="I7" s="7">
        <v>46265.0</v>
      </c>
      <c r="J7" s="6">
        <v>28.0</v>
      </c>
      <c r="K7" s="6">
        <v>26.0</v>
      </c>
      <c r="M7" s="8">
        <v>3983882.0</v>
      </c>
      <c r="N7" s="9">
        <v>0.0</v>
      </c>
      <c r="O7" s="9">
        <v>15000.0</v>
      </c>
      <c r="R7" s="6" t="e">
        <v>#VALUE!</v>
      </c>
      <c r="S7" s="6" t="s">
        <v>117</v>
      </c>
    </row>
    <row r="8">
      <c r="A8" s="6">
        <v>7.0</v>
      </c>
      <c r="B8" s="12" t="s">
        <v>119</v>
      </c>
      <c r="C8" s="6" t="s">
        <v>41</v>
      </c>
      <c r="D8" s="6" t="s">
        <v>126</v>
      </c>
      <c r="E8" s="6" t="s">
        <v>127</v>
      </c>
      <c r="F8" s="6" t="s">
        <v>47</v>
      </c>
      <c r="G8" s="6" t="s">
        <v>48</v>
      </c>
      <c r="H8" s="7">
        <v>43374.0</v>
      </c>
      <c r="I8" s="7">
        <v>46265.0</v>
      </c>
      <c r="J8" s="6">
        <v>27.0</v>
      </c>
      <c r="K8" s="6">
        <v>26.0</v>
      </c>
      <c r="M8" s="8">
        <v>5288796.0</v>
      </c>
      <c r="N8" s="9">
        <v>0.0</v>
      </c>
      <c r="O8" s="9">
        <v>15000.0</v>
      </c>
      <c r="P8" s="9">
        <v>584097.0</v>
      </c>
      <c r="R8" s="9">
        <v>4943114.0</v>
      </c>
      <c r="S8" s="6" t="s">
        <v>134</v>
      </c>
    </row>
    <row r="9">
      <c r="A9" s="6">
        <v>8.0</v>
      </c>
      <c r="B9" s="6" t="s">
        <v>35</v>
      </c>
      <c r="C9" s="6" t="s">
        <v>41</v>
      </c>
      <c r="D9" s="6" t="s">
        <v>126</v>
      </c>
      <c r="E9" s="6" t="s">
        <v>139</v>
      </c>
      <c r="F9" s="6" t="s">
        <v>47</v>
      </c>
      <c r="G9" s="6" t="s">
        <v>48</v>
      </c>
      <c r="H9" s="7">
        <v>44077.0</v>
      </c>
      <c r="I9" s="7">
        <v>46265.0</v>
      </c>
      <c r="J9" s="6">
        <v>27.0</v>
      </c>
      <c r="K9" s="6">
        <v>26.0</v>
      </c>
      <c r="M9" s="8">
        <v>5288796.0</v>
      </c>
      <c r="N9" s="9">
        <v>0.0</v>
      </c>
      <c r="O9" s="9">
        <v>15000.0</v>
      </c>
      <c r="P9" s="9">
        <v>1834500.0</v>
      </c>
      <c r="R9" s="9">
        <v>3692711.0</v>
      </c>
      <c r="S9" s="6" t="s">
        <v>134</v>
      </c>
    </row>
    <row r="10">
      <c r="A10" s="6">
        <v>9.0</v>
      </c>
      <c r="B10" s="6" t="s">
        <v>38</v>
      </c>
      <c r="C10" s="6" t="s">
        <v>41</v>
      </c>
      <c r="D10" s="6" t="s">
        <v>100</v>
      </c>
      <c r="E10" s="6" t="s">
        <v>148</v>
      </c>
      <c r="F10" s="6" t="s">
        <v>47</v>
      </c>
      <c r="G10" s="6" t="s">
        <v>48</v>
      </c>
      <c r="H10" s="7">
        <v>44753.0</v>
      </c>
      <c r="I10" s="7">
        <v>46265.0</v>
      </c>
      <c r="J10" s="6">
        <v>26.0</v>
      </c>
      <c r="K10" s="6">
        <v>26.0</v>
      </c>
      <c r="M10" s="8">
        <v>4148179.0</v>
      </c>
      <c r="N10" s="9">
        <v>0.0</v>
      </c>
      <c r="O10" s="9">
        <v>15000.0</v>
      </c>
      <c r="R10" s="6" t="e">
        <v>#VALUE!</v>
      </c>
      <c r="S10" s="6" t="s">
        <v>155</v>
      </c>
    </row>
    <row r="11">
      <c r="A11" s="6">
        <v>10.0</v>
      </c>
      <c r="B11" s="6" t="s">
        <v>159</v>
      </c>
      <c r="C11" s="6" t="s">
        <v>41</v>
      </c>
      <c r="D11" s="6" t="s">
        <v>163</v>
      </c>
      <c r="E11" s="6" t="s">
        <v>165</v>
      </c>
      <c r="F11" s="6" t="s">
        <v>47</v>
      </c>
      <c r="G11" s="6" t="s">
        <v>48</v>
      </c>
      <c r="H11" s="7">
        <v>44816.0</v>
      </c>
      <c r="I11" s="7">
        <v>46265.0</v>
      </c>
      <c r="J11" s="6">
        <v>27.0</v>
      </c>
      <c r="K11" s="6">
        <v>26.0</v>
      </c>
      <c r="M11" s="8">
        <v>3998179.0</v>
      </c>
      <c r="N11" s="9">
        <v>0.0</v>
      </c>
      <c r="O11" s="9">
        <v>15000.0</v>
      </c>
      <c r="P11" s="9">
        <v>1943000.0</v>
      </c>
      <c r="R11" s="9">
        <v>2243955.0</v>
      </c>
      <c r="S11" s="6" t="s">
        <v>172</v>
      </c>
    </row>
    <row r="12">
      <c r="A12" s="6">
        <v>11.0</v>
      </c>
      <c r="B12" s="6" t="s">
        <v>40</v>
      </c>
      <c r="C12" s="6" t="s">
        <v>176</v>
      </c>
      <c r="D12" s="6" t="s">
        <v>177</v>
      </c>
      <c r="E12" s="6" t="s">
        <v>179</v>
      </c>
      <c r="F12" s="6" t="s">
        <v>47</v>
      </c>
      <c r="G12" s="6" t="s">
        <v>48</v>
      </c>
      <c r="H12" s="7">
        <v>44852.0</v>
      </c>
      <c r="I12" s="7">
        <v>46265.0</v>
      </c>
      <c r="J12" s="6">
        <v>29.0</v>
      </c>
      <c r="K12" s="6">
        <v>26.0</v>
      </c>
      <c r="M12" s="8">
        <v>5729876.0</v>
      </c>
      <c r="N12" s="9">
        <v>600000.0</v>
      </c>
      <c r="O12" s="9">
        <v>15000.0</v>
      </c>
      <c r="R12" s="6" t="e">
        <v>#VALUE!</v>
      </c>
      <c r="S12" s="6" t="s">
        <v>184</v>
      </c>
    </row>
    <row r="13">
      <c r="A13" s="6">
        <v>12.0</v>
      </c>
      <c r="B13" s="6" t="s">
        <v>45</v>
      </c>
      <c r="C13" s="6" t="s">
        <v>176</v>
      </c>
      <c r="D13" s="6" t="s">
        <v>177</v>
      </c>
      <c r="E13" s="6" t="s">
        <v>179</v>
      </c>
      <c r="F13" s="6" t="s">
        <v>47</v>
      </c>
      <c r="G13" s="6" t="s">
        <v>48</v>
      </c>
      <c r="H13" s="7">
        <v>44844.0</v>
      </c>
      <c r="I13" s="7">
        <v>46265.0</v>
      </c>
      <c r="J13" s="6">
        <v>30.0</v>
      </c>
      <c r="K13" s="6">
        <v>26.0</v>
      </c>
      <c r="M13" s="8">
        <v>5729876.0</v>
      </c>
      <c r="N13" s="9">
        <v>600000.0</v>
      </c>
      <c r="O13" s="9">
        <v>15000.0</v>
      </c>
      <c r="R13" s="6" t="e">
        <v>#VALUE!</v>
      </c>
      <c r="S13" s="6" t="s">
        <v>191</v>
      </c>
    </row>
    <row r="14">
      <c r="A14" s="6">
        <v>13.0</v>
      </c>
      <c r="B14" s="6" t="s">
        <v>194</v>
      </c>
      <c r="C14" s="6" t="s">
        <v>176</v>
      </c>
      <c r="D14" s="6" t="s">
        <v>177</v>
      </c>
      <c r="E14" s="6" t="s">
        <v>179</v>
      </c>
      <c r="F14" s="6" t="s">
        <v>47</v>
      </c>
      <c r="G14" s="6" t="s">
        <v>48</v>
      </c>
      <c r="H14" s="7">
        <v>44837.0</v>
      </c>
      <c r="I14" s="7">
        <v>46265.0</v>
      </c>
      <c r="J14" s="6">
        <v>28.0</v>
      </c>
      <c r="K14" s="6">
        <v>26.0</v>
      </c>
      <c r="M14" s="8">
        <v>5729876.0</v>
      </c>
      <c r="N14" s="9">
        <v>600000.0</v>
      </c>
      <c r="O14" s="9">
        <v>15000.0</v>
      </c>
      <c r="R14" s="6" t="e">
        <v>#VALUE!</v>
      </c>
      <c r="S14" s="6" t="s">
        <v>71</v>
      </c>
    </row>
    <row r="15">
      <c r="A15" s="6">
        <v>14.0</v>
      </c>
      <c r="B15" s="6" t="s">
        <v>49</v>
      </c>
      <c r="C15" s="6" t="s">
        <v>41</v>
      </c>
      <c r="D15" s="6" t="s">
        <v>205</v>
      </c>
      <c r="E15" s="6" t="s">
        <v>206</v>
      </c>
      <c r="F15" s="6" t="s">
        <v>47</v>
      </c>
      <c r="G15" s="6" t="s">
        <v>48</v>
      </c>
      <c r="H15" s="7">
        <v>44858.0</v>
      </c>
      <c r="I15" s="7">
        <v>46265.0</v>
      </c>
      <c r="J15" s="6">
        <v>28.0</v>
      </c>
      <c r="K15" s="6">
        <v>26.0</v>
      </c>
      <c r="M15" s="8">
        <v>2472227.0</v>
      </c>
      <c r="N15" s="9">
        <v>0.0</v>
      </c>
      <c r="O15" s="9">
        <v>15000.0</v>
      </c>
      <c r="R15" s="6" t="e">
        <v>#VALUE!</v>
      </c>
      <c r="S15" s="6" t="s">
        <v>211</v>
      </c>
    </row>
    <row r="16">
      <c r="A16" s="6">
        <v>15.0</v>
      </c>
      <c r="B16" s="6" t="s">
        <v>52</v>
      </c>
      <c r="C16" s="6" t="s">
        <v>41</v>
      </c>
      <c r="D16" s="6" t="s">
        <v>214</v>
      </c>
      <c r="E16" s="6" t="s">
        <v>216</v>
      </c>
      <c r="F16" s="6" t="s">
        <v>47</v>
      </c>
      <c r="G16" s="6" t="s">
        <v>48</v>
      </c>
      <c r="H16" s="7">
        <v>44911.0</v>
      </c>
      <c r="I16" s="7">
        <v>46265.0</v>
      </c>
      <c r="J16" s="6">
        <v>27.0</v>
      </c>
      <c r="K16" s="6">
        <v>26.0</v>
      </c>
      <c r="M16" s="8">
        <v>4233374.0</v>
      </c>
      <c r="N16" s="9">
        <v>0.0</v>
      </c>
      <c r="O16" s="9">
        <v>15000.0</v>
      </c>
      <c r="P16" s="9">
        <v>811500.0</v>
      </c>
      <c r="R16" s="9">
        <v>3619696.0</v>
      </c>
      <c r="S16" s="6" t="s">
        <v>220</v>
      </c>
    </row>
    <row r="17">
      <c r="A17" s="6">
        <v>16.0</v>
      </c>
      <c r="B17" s="6" t="s">
        <v>223</v>
      </c>
      <c r="C17" s="6" t="s">
        <v>41</v>
      </c>
      <c r="D17" s="6" t="s">
        <v>163</v>
      </c>
      <c r="E17" s="6" t="s">
        <v>228</v>
      </c>
      <c r="F17" s="6" t="s">
        <v>47</v>
      </c>
      <c r="G17" s="6" t="s">
        <v>48</v>
      </c>
      <c r="H17" s="7">
        <v>44963.0</v>
      </c>
      <c r="I17" s="7">
        <v>46265.0</v>
      </c>
      <c r="J17" s="6">
        <v>27.0</v>
      </c>
      <c r="K17" s="6">
        <v>26.0</v>
      </c>
      <c r="M17" s="8">
        <v>3898210.0</v>
      </c>
      <c r="N17" s="9">
        <v>0.0</v>
      </c>
      <c r="O17" s="9">
        <v>15000.0</v>
      </c>
      <c r="R17" s="6" t="e">
        <v>#VALUE!</v>
      </c>
      <c r="S17" s="6" t="s">
        <v>234</v>
      </c>
    </row>
    <row r="18">
      <c r="A18" s="6">
        <v>17.0</v>
      </c>
      <c r="B18" s="6" t="s">
        <v>236</v>
      </c>
      <c r="C18" s="6" t="s">
        <v>41</v>
      </c>
      <c r="D18" s="6" t="s">
        <v>239</v>
      </c>
      <c r="E18" s="6" t="s">
        <v>240</v>
      </c>
      <c r="F18" s="6" t="s">
        <v>47</v>
      </c>
      <c r="G18" s="6" t="s">
        <v>48</v>
      </c>
      <c r="H18" s="7">
        <v>45054.0</v>
      </c>
      <c r="I18" s="7">
        <v>46265.0</v>
      </c>
      <c r="J18" s="6">
        <v>25.0</v>
      </c>
      <c r="K18" s="6">
        <v>26.0</v>
      </c>
      <c r="M18" s="8">
        <v>4335198.0</v>
      </c>
      <c r="N18" s="9">
        <v>0.0</v>
      </c>
      <c r="O18" s="9">
        <v>15000.0</v>
      </c>
      <c r="R18" s="6" t="e">
        <v>#VALUE!</v>
      </c>
      <c r="S18" s="6" t="s">
        <v>244</v>
      </c>
    </row>
    <row r="19">
      <c r="A19" s="6">
        <v>18.0</v>
      </c>
      <c r="B19" s="6" t="s">
        <v>246</v>
      </c>
      <c r="C19" s="6" t="s">
        <v>41</v>
      </c>
      <c r="D19" s="6" t="s">
        <v>214</v>
      </c>
      <c r="E19" s="6" t="s">
        <v>248</v>
      </c>
      <c r="F19" s="6" t="s">
        <v>47</v>
      </c>
      <c r="G19" s="6" t="s">
        <v>48</v>
      </c>
      <c r="H19" s="7">
        <v>45061.0</v>
      </c>
      <c r="I19" s="7">
        <v>46265.0</v>
      </c>
      <c r="J19" s="6">
        <v>27.0</v>
      </c>
      <c r="K19" s="6">
        <v>26.0</v>
      </c>
      <c r="M19" s="8">
        <v>3701709.0</v>
      </c>
      <c r="N19" s="9">
        <v>0.0</v>
      </c>
      <c r="O19" s="9">
        <v>15000.0</v>
      </c>
      <c r="R19" s="6" t="e">
        <v>#VALUE!</v>
      </c>
      <c r="S19" s="6" t="s">
        <v>253</v>
      </c>
    </row>
    <row r="20">
      <c r="A20" s="6">
        <v>19.0</v>
      </c>
      <c r="B20" s="6" t="s">
        <v>256</v>
      </c>
      <c r="C20" s="6" t="s">
        <v>176</v>
      </c>
      <c r="D20" s="6" t="s">
        <v>177</v>
      </c>
      <c r="E20" s="6" t="s">
        <v>260</v>
      </c>
      <c r="F20" s="6" t="s">
        <v>47</v>
      </c>
      <c r="G20" s="6" t="s">
        <v>48</v>
      </c>
      <c r="H20" s="7">
        <v>45147.0</v>
      </c>
      <c r="I20" s="7">
        <v>46265.0</v>
      </c>
      <c r="J20" s="6">
        <v>26.0</v>
      </c>
      <c r="K20" s="6">
        <v>26.0</v>
      </c>
      <c r="M20" s="8">
        <v>5288796.0</v>
      </c>
      <c r="N20" s="9">
        <v>600000.0</v>
      </c>
      <c r="O20" s="9">
        <v>15000.0</v>
      </c>
      <c r="R20" s="6" t="e">
        <v>#VALUE!</v>
      </c>
      <c r="S20" s="6" t="s">
        <v>264</v>
      </c>
    </row>
    <row r="21">
      <c r="A21" s="6">
        <v>20.0</v>
      </c>
      <c r="B21" s="6" t="s">
        <v>53</v>
      </c>
      <c r="C21" s="6" t="s">
        <v>176</v>
      </c>
      <c r="D21" s="6" t="s">
        <v>177</v>
      </c>
      <c r="E21" s="6" t="s">
        <v>260</v>
      </c>
      <c r="F21" s="6" t="s">
        <v>47</v>
      </c>
      <c r="G21" s="6" t="s">
        <v>48</v>
      </c>
      <c r="H21" s="7">
        <v>45147.0</v>
      </c>
      <c r="I21" s="7">
        <v>46265.0</v>
      </c>
      <c r="J21" s="6">
        <v>27.0</v>
      </c>
      <c r="K21" s="6">
        <v>26.0</v>
      </c>
      <c r="M21" s="8">
        <v>5288796.0</v>
      </c>
      <c r="N21" s="9">
        <v>600000.0</v>
      </c>
      <c r="O21" s="9">
        <v>15000.0</v>
      </c>
      <c r="R21" s="6" t="e">
        <v>#VALUE!</v>
      </c>
      <c r="S21" s="6" t="s">
        <v>134</v>
      </c>
    </row>
    <row r="22">
      <c r="A22" s="6">
        <v>21.0</v>
      </c>
      <c r="B22" s="6" t="s">
        <v>276</v>
      </c>
      <c r="C22" s="6" t="s">
        <v>176</v>
      </c>
      <c r="D22" s="6" t="s">
        <v>177</v>
      </c>
      <c r="E22" s="6" t="s">
        <v>260</v>
      </c>
      <c r="F22" s="6" t="s">
        <v>47</v>
      </c>
      <c r="G22" s="6" t="s">
        <v>48</v>
      </c>
      <c r="H22" s="7">
        <v>45152.0</v>
      </c>
      <c r="I22" s="7">
        <v>46265.0</v>
      </c>
      <c r="J22" s="6">
        <v>27.0</v>
      </c>
      <c r="K22" s="6">
        <v>26.0</v>
      </c>
      <c r="M22" s="8">
        <v>5288796.0</v>
      </c>
      <c r="N22" s="9">
        <v>600000.0</v>
      </c>
      <c r="O22" s="9">
        <v>15000.0</v>
      </c>
      <c r="R22" s="6" t="e">
        <v>#VALUE!</v>
      </c>
      <c r="S22" s="6" t="s">
        <v>134</v>
      </c>
    </row>
    <row r="23">
      <c r="A23" s="6">
        <v>22.0</v>
      </c>
      <c r="B23" s="6" t="s">
        <v>55</v>
      </c>
      <c r="C23" s="6" t="s">
        <v>41</v>
      </c>
      <c r="D23" s="6" t="s">
        <v>78</v>
      </c>
      <c r="E23" s="6" t="s">
        <v>284</v>
      </c>
      <c r="F23" s="6" t="s">
        <v>47</v>
      </c>
      <c r="G23" s="6" t="s">
        <v>48</v>
      </c>
      <c r="H23" s="7">
        <v>45323.0</v>
      </c>
      <c r="I23" s="7">
        <v>46265.0</v>
      </c>
      <c r="J23" s="6">
        <v>25.0</v>
      </c>
      <c r="K23" s="6">
        <v>26.0</v>
      </c>
      <c r="M23" s="8">
        <v>3855894.0</v>
      </c>
      <c r="N23" s="9">
        <v>0.0</v>
      </c>
      <c r="O23" s="9">
        <v>15000.0</v>
      </c>
      <c r="R23" s="6" t="e">
        <v>#VALUE!</v>
      </c>
      <c r="S23" s="6" t="s">
        <v>289</v>
      </c>
    </row>
    <row r="24">
      <c r="A24" s="6">
        <v>23.0</v>
      </c>
      <c r="B24" s="6" t="s">
        <v>57</v>
      </c>
      <c r="C24" s="6" t="s">
        <v>41</v>
      </c>
      <c r="D24" s="6" t="s">
        <v>115</v>
      </c>
      <c r="E24" s="6" t="s">
        <v>293</v>
      </c>
      <c r="F24" s="6" t="s">
        <v>47</v>
      </c>
      <c r="G24" s="6" t="s">
        <v>48</v>
      </c>
      <c r="H24" s="7">
        <v>45327.0</v>
      </c>
      <c r="I24" s="7">
        <v>46259.0</v>
      </c>
      <c r="J24" s="6">
        <v>26.0</v>
      </c>
      <c r="K24" s="6">
        <v>26.0</v>
      </c>
      <c r="M24" s="8">
        <v>3983882.0</v>
      </c>
      <c r="N24" s="9">
        <v>0.0</v>
      </c>
      <c r="O24" s="9">
        <v>15000.0</v>
      </c>
      <c r="P24" s="9">
        <v>750000.0</v>
      </c>
      <c r="R24" s="9">
        <v>3268882.0</v>
      </c>
      <c r="S24" s="6" t="s">
        <v>297</v>
      </c>
    </row>
    <row r="25">
      <c r="A25" s="6">
        <v>24.0</v>
      </c>
      <c r="B25" s="6" t="s">
        <v>299</v>
      </c>
      <c r="C25" s="6" t="s">
        <v>41</v>
      </c>
      <c r="D25" s="6" t="s">
        <v>100</v>
      </c>
      <c r="E25" s="6" t="s">
        <v>300</v>
      </c>
      <c r="F25" s="6" t="s">
        <v>47</v>
      </c>
      <c r="G25" s="6" t="s">
        <v>48</v>
      </c>
      <c r="H25" s="7">
        <v>45356.0</v>
      </c>
      <c r="I25" s="7">
        <v>46265.0</v>
      </c>
      <c r="J25" s="6">
        <v>28.0</v>
      </c>
      <c r="K25" s="6">
        <v>26.0</v>
      </c>
      <c r="M25" s="8">
        <v>4148179.0</v>
      </c>
      <c r="N25" s="9">
        <v>0.0</v>
      </c>
      <c r="O25" s="9">
        <v>15000.0</v>
      </c>
      <c r="R25" s="6" t="e">
        <v>#VALUE!</v>
      </c>
      <c r="S25" s="6" t="s">
        <v>302</v>
      </c>
    </row>
    <row r="26">
      <c r="A26" s="6">
        <v>25.0</v>
      </c>
      <c r="B26" s="6" t="s">
        <v>304</v>
      </c>
      <c r="C26" s="6" t="s">
        <v>41</v>
      </c>
      <c r="D26" s="6" t="s">
        <v>239</v>
      </c>
      <c r="E26" s="6" t="s">
        <v>305</v>
      </c>
      <c r="F26" s="6" t="s">
        <v>47</v>
      </c>
      <c r="G26" s="6" t="s">
        <v>48</v>
      </c>
      <c r="H26" s="7">
        <v>45352.0</v>
      </c>
      <c r="I26" s="7">
        <v>46265.0</v>
      </c>
      <c r="J26" s="6">
        <v>22.0</v>
      </c>
      <c r="K26" s="6">
        <v>26.0</v>
      </c>
      <c r="M26" s="8">
        <v>4335198.0</v>
      </c>
      <c r="N26" s="9">
        <v>0.0</v>
      </c>
      <c r="O26" s="9">
        <v>15000.0</v>
      </c>
      <c r="R26" s="6" t="e">
        <v>#VALUE!</v>
      </c>
      <c r="S26" s="6" t="s">
        <v>308</v>
      </c>
    </row>
    <row r="27">
      <c r="A27" s="6">
        <v>26.0</v>
      </c>
      <c r="B27" s="6" t="s">
        <v>311</v>
      </c>
      <c r="C27" s="6" t="s">
        <v>41</v>
      </c>
      <c r="D27" s="6" t="s">
        <v>126</v>
      </c>
      <c r="E27" s="6" t="s">
        <v>313</v>
      </c>
      <c r="F27" s="6" t="s">
        <v>47</v>
      </c>
      <c r="G27" s="6" t="s">
        <v>48</v>
      </c>
      <c r="H27" s="7">
        <v>45446.0</v>
      </c>
      <c r="I27" s="7">
        <v>46265.0</v>
      </c>
      <c r="J27" s="6">
        <v>27.0</v>
      </c>
      <c r="K27" s="6">
        <v>26.0</v>
      </c>
      <c r="M27" s="8">
        <v>2628190.0</v>
      </c>
      <c r="N27" s="9">
        <v>0.0</v>
      </c>
      <c r="O27" s="9">
        <v>15000.0</v>
      </c>
      <c r="R27" s="6" t="e">
        <v>#VALUE!</v>
      </c>
      <c r="S27" s="6" t="s">
        <v>317</v>
      </c>
    </row>
    <row r="28">
      <c r="A28" s="6">
        <v>27.0</v>
      </c>
      <c r="B28" s="6" t="s">
        <v>318</v>
      </c>
      <c r="C28" s="6" t="s">
        <v>41</v>
      </c>
      <c r="D28" s="6" t="s">
        <v>319</v>
      </c>
      <c r="E28" s="6" t="s">
        <v>320</v>
      </c>
      <c r="F28" s="6" t="s">
        <v>47</v>
      </c>
      <c r="G28" s="6" t="s">
        <v>48</v>
      </c>
      <c r="H28" s="7">
        <v>45474.0</v>
      </c>
      <c r="I28" s="7">
        <v>46265.0</v>
      </c>
      <c r="J28" s="6">
        <v>25.0</v>
      </c>
      <c r="K28" s="6">
        <v>26.0</v>
      </c>
      <c r="M28" s="8">
        <v>3182955.0</v>
      </c>
      <c r="N28" s="9">
        <v>0.0</v>
      </c>
      <c r="O28" s="9">
        <v>15000.0</v>
      </c>
      <c r="R28" s="6" t="e">
        <v>#VALUE!</v>
      </c>
      <c r="S28" s="6" t="s">
        <v>323</v>
      </c>
    </row>
    <row r="29">
      <c r="A29" s="6">
        <v>28.0</v>
      </c>
      <c r="B29" s="6" t="s">
        <v>324</v>
      </c>
      <c r="C29" s="6" t="s">
        <v>41</v>
      </c>
      <c r="D29" s="6" t="s">
        <v>126</v>
      </c>
      <c r="E29" s="6" t="s">
        <v>326</v>
      </c>
      <c r="F29" s="6" t="s">
        <v>47</v>
      </c>
      <c r="G29" s="6" t="s">
        <v>48</v>
      </c>
      <c r="H29" s="7">
        <v>45505.0</v>
      </c>
      <c r="I29" s="7">
        <v>46265.0</v>
      </c>
      <c r="J29" s="6">
        <v>29.0</v>
      </c>
      <c r="K29" s="6">
        <v>26.0</v>
      </c>
      <c r="L29" s="6">
        <v>2.0</v>
      </c>
      <c r="M29" s="8">
        <v>5288796.0</v>
      </c>
      <c r="N29" s="9">
        <v>0.0</v>
      </c>
      <c r="O29" s="9">
        <v>15000.0</v>
      </c>
      <c r="P29" s="9">
        <v>750000.0</v>
      </c>
      <c r="R29" s="9">
        <v>5214042.0</v>
      </c>
      <c r="S29" s="6" t="s">
        <v>332</v>
      </c>
      <c r="T29" s="6" t="s">
        <v>334</v>
      </c>
    </row>
    <row r="30">
      <c r="A30" s="6">
        <v>29.0</v>
      </c>
      <c r="B30" s="6" t="s">
        <v>335</v>
      </c>
      <c r="C30" s="6" t="s">
        <v>41</v>
      </c>
      <c r="D30" s="6" t="s">
        <v>100</v>
      </c>
      <c r="E30" s="6" t="s">
        <v>337</v>
      </c>
      <c r="F30" s="6" t="s">
        <v>47</v>
      </c>
      <c r="G30" s="6" t="s">
        <v>48</v>
      </c>
      <c r="H30" s="7">
        <v>45855.0</v>
      </c>
      <c r="I30" s="7">
        <v>46265.0</v>
      </c>
      <c r="J30" s="6">
        <v>24.0</v>
      </c>
      <c r="K30" s="6">
        <v>26.0</v>
      </c>
      <c r="M30" s="8">
        <v>4148179.0</v>
      </c>
      <c r="N30" s="9">
        <v>0.0</v>
      </c>
      <c r="O30" s="9">
        <v>15000.0</v>
      </c>
      <c r="P30" s="9">
        <v>440000.0</v>
      </c>
      <c r="R30" s="9">
        <v>3424088.0</v>
      </c>
      <c r="S30" s="6" t="s">
        <v>340</v>
      </c>
    </row>
    <row r="31">
      <c r="A31" s="6">
        <v>30.0</v>
      </c>
      <c r="B31" s="6" t="s">
        <v>341</v>
      </c>
      <c r="C31" s="6" t="s">
        <v>41</v>
      </c>
      <c r="D31" s="6" t="s">
        <v>78</v>
      </c>
      <c r="E31" s="6" t="s">
        <v>342</v>
      </c>
      <c r="F31" s="6" t="s">
        <v>47</v>
      </c>
      <c r="G31" s="6" t="s">
        <v>48</v>
      </c>
      <c r="H31" s="7">
        <v>45546.0</v>
      </c>
      <c r="I31" s="7">
        <v>46265.0</v>
      </c>
      <c r="J31" s="6">
        <v>27.0</v>
      </c>
      <c r="K31" s="6">
        <v>26.0</v>
      </c>
      <c r="M31" s="8">
        <v>3909005.0</v>
      </c>
      <c r="N31" s="9">
        <v>0.0</v>
      </c>
      <c r="O31" s="9">
        <v>15000.0</v>
      </c>
      <c r="R31" s="6" t="e">
        <v>#VALUE!</v>
      </c>
      <c r="S31" s="6" t="s">
        <v>344</v>
      </c>
    </row>
    <row r="32">
      <c r="A32" s="6">
        <v>31.0</v>
      </c>
      <c r="B32" s="6" t="s">
        <v>346</v>
      </c>
      <c r="C32" s="6" t="s">
        <v>41</v>
      </c>
      <c r="D32" s="6" t="s">
        <v>239</v>
      </c>
      <c r="E32" s="6" t="s">
        <v>347</v>
      </c>
      <c r="F32" s="6" t="s">
        <v>47</v>
      </c>
      <c r="G32" s="6" t="s">
        <v>48</v>
      </c>
      <c r="H32" s="7">
        <v>45541.0</v>
      </c>
      <c r="I32" s="7">
        <v>46265.0</v>
      </c>
      <c r="J32" s="6">
        <v>25.0</v>
      </c>
      <c r="K32" s="6">
        <v>26.0</v>
      </c>
      <c r="M32" s="8">
        <v>4335198.0</v>
      </c>
      <c r="N32" s="9">
        <v>0.0</v>
      </c>
      <c r="O32" s="9">
        <v>15000.0</v>
      </c>
      <c r="R32" s="6" t="e">
        <v>#VALUE!</v>
      </c>
      <c r="S32" s="6" t="s">
        <v>244</v>
      </c>
    </row>
    <row r="33">
      <c r="A33" s="6">
        <v>32.0</v>
      </c>
      <c r="B33" s="6" t="s">
        <v>62</v>
      </c>
      <c r="C33" s="6" t="s">
        <v>41</v>
      </c>
      <c r="D33" s="6" t="s">
        <v>115</v>
      </c>
      <c r="E33" s="6" t="s">
        <v>352</v>
      </c>
      <c r="F33" s="6" t="s">
        <v>47</v>
      </c>
      <c r="G33" s="6" t="s">
        <v>48</v>
      </c>
      <c r="H33" s="7">
        <v>45553.0</v>
      </c>
      <c r="I33" s="7">
        <v>46265.0</v>
      </c>
      <c r="J33" s="6">
        <v>28.0</v>
      </c>
      <c r="K33" s="6">
        <v>26.0</v>
      </c>
      <c r="M33" s="8">
        <v>3991797.0</v>
      </c>
      <c r="N33" s="9">
        <v>0.0</v>
      </c>
      <c r="O33" s="9">
        <v>15000.0</v>
      </c>
      <c r="R33" s="6" t="e">
        <v>#VALUE!</v>
      </c>
      <c r="S33" s="6" t="s">
        <v>355</v>
      </c>
    </row>
    <row r="34">
      <c r="A34" s="6">
        <v>33.0</v>
      </c>
      <c r="B34" s="6" t="s">
        <v>64</v>
      </c>
      <c r="C34" s="6" t="s">
        <v>41</v>
      </c>
      <c r="D34" s="6" t="s">
        <v>108</v>
      </c>
      <c r="E34" s="6" t="s">
        <v>357</v>
      </c>
      <c r="F34" s="6" t="s">
        <v>47</v>
      </c>
      <c r="G34" s="6" t="s">
        <v>48</v>
      </c>
      <c r="H34" s="7">
        <v>45567.0</v>
      </c>
      <c r="I34" s="7">
        <v>46265.0</v>
      </c>
      <c r="J34" s="6">
        <v>27.0</v>
      </c>
      <c r="K34" s="6">
        <v>26.0</v>
      </c>
      <c r="M34" s="8">
        <v>4192837.0</v>
      </c>
      <c r="N34" s="9">
        <v>0.0</v>
      </c>
      <c r="O34" s="9">
        <v>15000.0</v>
      </c>
      <c r="P34" s="9">
        <v>750000.0</v>
      </c>
      <c r="R34" s="9">
        <v>3639100.0</v>
      </c>
      <c r="S34" s="6" t="s">
        <v>114</v>
      </c>
    </row>
    <row r="35">
      <c r="A35" s="6">
        <v>34.0</v>
      </c>
      <c r="B35" s="6" t="s">
        <v>358</v>
      </c>
      <c r="C35" s="6" t="s">
        <v>41</v>
      </c>
      <c r="D35" s="6" t="s">
        <v>100</v>
      </c>
      <c r="E35" s="6" t="s">
        <v>360</v>
      </c>
      <c r="F35" s="6" t="s">
        <v>47</v>
      </c>
      <c r="G35" s="6" t="s">
        <v>48</v>
      </c>
      <c r="H35" s="7">
        <v>45566.0</v>
      </c>
      <c r="I35" s="7">
        <v>46265.0</v>
      </c>
      <c r="J35" s="6">
        <v>27.0</v>
      </c>
      <c r="K35" s="6">
        <v>26.0</v>
      </c>
      <c r="M35" s="8">
        <v>4148179.0</v>
      </c>
      <c r="N35" s="9">
        <v>0.0</v>
      </c>
      <c r="O35" s="9">
        <v>15000.0</v>
      </c>
      <c r="R35" s="6" t="e">
        <v>#VALUE!</v>
      </c>
      <c r="S35" s="6" t="s">
        <v>105</v>
      </c>
    </row>
    <row r="36">
      <c r="A36" s="6">
        <v>35.0</v>
      </c>
      <c r="B36" s="6" t="s">
        <v>67</v>
      </c>
      <c r="C36" s="6" t="s">
        <v>41</v>
      </c>
      <c r="D36" s="6" t="s">
        <v>205</v>
      </c>
      <c r="E36" s="6" t="s">
        <v>365</v>
      </c>
      <c r="F36" s="6" t="s">
        <v>47</v>
      </c>
      <c r="G36" s="6" t="s">
        <v>48</v>
      </c>
      <c r="H36" s="7">
        <v>45576.0</v>
      </c>
      <c r="I36" s="7">
        <v>46265.0</v>
      </c>
      <c r="J36" s="6">
        <v>28.0</v>
      </c>
      <c r="K36" s="6">
        <v>26.0</v>
      </c>
      <c r="M36" s="8">
        <v>4737678.0</v>
      </c>
      <c r="N36" s="9">
        <v>0.0</v>
      </c>
      <c r="O36" s="9">
        <v>15000.0</v>
      </c>
      <c r="P36" s="9">
        <v>750000.0</v>
      </c>
      <c r="R36" s="9">
        <v>4387115.0</v>
      </c>
      <c r="S36" s="6" t="s">
        <v>368</v>
      </c>
    </row>
    <row r="37">
      <c r="A37" s="6">
        <v>36.0</v>
      </c>
      <c r="B37" s="6" t="s">
        <v>369</v>
      </c>
      <c r="C37" s="6" t="s">
        <v>41</v>
      </c>
      <c r="D37" s="6" t="s">
        <v>126</v>
      </c>
      <c r="E37" s="6" t="s">
        <v>370</v>
      </c>
      <c r="F37" s="6" t="s">
        <v>47</v>
      </c>
      <c r="G37" s="6" t="s">
        <v>48</v>
      </c>
      <c r="H37" s="7">
        <v>45579.0</v>
      </c>
      <c r="I37" s="7">
        <v>46265.0</v>
      </c>
      <c r="J37" s="6">
        <v>29.0</v>
      </c>
      <c r="K37" s="6">
        <v>26.0</v>
      </c>
      <c r="M37" s="8">
        <v>5288796.0</v>
      </c>
      <c r="N37" s="9">
        <v>0.0</v>
      </c>
      <c r="O37" s="9">
        <v>15000.0</v>
      </c>
      <c r="R37" s="6" t="e">
        <v>#VALUE!</v>
      </c>
      <c r="S37" s="6" t="s">
        <v>332</v>
      </c>
    </row>
    <row r="38">
      <c r="A38" s="6">
        <v>37.0</v>
      </c>
      <c r="B38" s="6" t="s">
        <v>372</v>
      </c>
      <c r="C38" s="6" t="s">
        <v>41</v>
      </c>
      <c r="D38" s="6" t="s">
        <v>115</v>
      </c>
      <c r="E38" s="6" t="s">
        <v>373</v>
      </c>
      <c r="F38" s="6" t="s">
        <v>47</v>
      </c>
      <c r="G38" s="6" t="s">
        <v>48</v>
      </c>
      <c r="H38" s="7">
        <v>45628.0</v>
      </c>
      <c r="I38" s="7">
        <v>46265.0</v>
      </c>
      <c r="J38" s="6">
        <v>27.0</v>
      </c>
      <c r="K38" s="6">
        <v>26.0</v>
      </c>
      <c r="M38" s="8">
        <v>3991797.0</v>
      </c>
      <c r="N38" s="9">
        <v>0.0</v>
      </c>
      <c r="O38" s="9">
        <v>15000.0</v>
      </c>
      <c r="R38" s="6" t="e">
        <v>#VALUE!</v>
      </c>
      <c r="S38" s="6" t="s">
        <v>375</v>
      </c>
    </row>
    <row r="39">
      <c r="A39" s="6">
        <v>38.0</v>
      </c>
      <c r="B39" s="6" t="s">
        <v>376</v>
      </c>
      <c r="C39" s="6" t="s">
        <v>41</v>
      </c>
      <c r="D39" s="6" t="s">
        <v>214</v>
      </c>
      <c r="E39" s="6" t="s">
        <v>378</v>
      </c>
      <c r="F39" s="6" t="s">
        <v>47</v>
      </c>
      <c r="G39" s="6" t="s">
        <v>48</v>
      </c>
      <c r="H39" s="7">
        <v>45627.0</v>
      </c>
      <c r="I39" s="7">
        <v>46265.0</v>
      </c>
      <c r="J39" s="6">
        <v>27.0</v>
      </c>
      <c r="K39" s="6">
        <v>26.0</v>
      </c>
      <c r="M39" s="8">
        <v>2827593.0</v>
      </c>
      <c r="N39" s="9">
        <v>0.0</v>
      </c>
      <c r="O39" s="9">
        <v>15000.0</v>
      </c>
      <c r="R39" s="6" t="e">
        <v>#VALUE!</v>
      </c>
      <c r="S39" s="6" t="s">
        <v>380</v>
      </c>
    </row>
    <row r="40">
      <c r="A40" s="6">
        <v>39.0</v>
      </c>
      <c r="B40" s="6" t="s">
        <v>70</v>
      </c>
      <c r="C40" s="6" t="s">
        <v>41</v>
      </c>
      <c r="D40" s="6" t="s">
        <v>78</v>
      </c>
      <c r="E40" s="6" t="s">
        <v>382</v>
      </c>
      <c r="F40" s="6" t="s">
        <v>47</v>
      </c>
      <c r="G40" s="6" t="s">
        <v>48</v>
      </c>
      <c r="H40" s="7">
        <v>45627.0</v>
      </c>
      <c r="I40" s="7">
        <v>46265.0</v>
      </c>
      <c r="J40" s="6">
        <v>27.0</v>
      </c>
      <c r="K40" s="6">
        <v>26.0</v>
      </c>
      <c r="M40" s="8">
        <v>3827935.0</v>
      </c>
      <c r="N40" s="9">
        <v>0.0</v>
      </c>
      <c r="O40" s="9">
        <v>15000.0</v>
      </c>
      <c r="R40" s="6" t="e">
        <v>#VALUE!</v>
      </c>
      <c r="S40" s="6" t="s">
        <v>383</v>
      </c>
    </row>
    <row r="41">
      <c r="A41" s="6">
        <v>40.0</v>
      </c>
      <c r="B41" s="6" t="s">
        <v>384</v>
      </c>
      <c r="C41" s="6" t="s">
        <v>41</v>
      </c>
      <c r="D41" s="6" t="s">
        <v>214</v>
      </c>
      <c r="E41" s="6" t="s">
        <v>385</v>
      </c>
      <c r="F41" s="6" t="s">
        <v>47</v>
      </c>
      <c r="G41" s="6" t="s">
        <v>48</v>
      </c>
      <c r="H41" s="7">
        <v>45636.0</v>
      </c>
      <c r="I41" s="7">
        <v>46265.0</v>
      </c>
      <c r="J41" s="6">
        <v>27.0</v>
      </c>
      <c r="K41" s="6">
        <v>26.0</v>
      </c>
      <c r="M41" s="8">
        <v>2538691.0</v>
      </c>
      <c r="N41" s="9">
        <v>0.0</v>
      </c>
      <c r="O41" s="9">
        <v>15000.0</v>
      </c>
      <c r="R41" s="6" t="e">
        <v>#VALUE!</v>
      </c>
      <c r="S41" s="6" t="s">
        <v>386</v>
      </c>
    </row>
    <row r="42">
      <c r="A42" s="6">
        <v>41.0</v>
      </c>
      <c r="B42" s="6" t="s">
        <v>74</v>
      </c>
      <c r="C42" s="6" t="s">
        <v>41</v>
      </c>
      <c r="D42" s="6" t="s">
        <v>115</v>
      </c>
      <c r="E42" s="6" t="s">
        <v>388</v>
      </c>
      <c r="F42" s="6" t="s">
        <v>47</v>
      </c>
      <c r="G42" s="6" t="s">
        <v>48</v>
      </c>
      <c r="H42" s="7">
        <v>45647.0</v>
      </c>
      <c r="I42" s="7">
        <v>46265.0</v>
      </c>
      <c r="J42" s="6">
        <v>30.0</v>
      </c>
      <c r="K42" s="6">
        <v>26.0</v>
      </c>
      <c r="M42" s="8">
        <v>3776998.0</v>
      </c>
      <c r="N42" s="9">
        <v>0.0</v>
      </c>
      <c r="O42" s="9">
        <v>15000.0</v>
      </c>
      <c r="P42" s="9">
        <v>750000.0</v>
      </c>
      <c r="R42" s="9">
        <v>3643075.0</v>
      </c>
      <c r="S42" s="6" t="s">
        <v>391</v>
      </c>
    </row>
    <row r="43">
      <c r="A43" s="6">
        <v>42.0</v>
      </c>
      <c r="B43" s="6" t="s">
        <v>393</v>
      </c>
      <c r="C43" s="6" t="s">
        <v>41</v>
      </c>
      <c r="D43" s="6" t="s">
        <v>214</v>
      </c>
      <c r="E43" s="6" t="s">
        <v>395</v>
      </c>
      <c r="F43" s="6" t="s">
        <v>47</v>
      </c>
      <c r="G43" s="6" t="s">
        <v>48</v>
      </c>
      <c r="H43" s="7">
        <v>45673.0</v>
      </c>
      <c r="I43" s="7">
        <v>46265.0</v>
      </c>
      <c r="J43" s="6">
        <v>27.0</v>
      </c>
      <c r="K43" s="6">
        <v>26.0</v>
      </c>
      <c r="M43" s="8">
        <v>2827593.0</v>
      </c>
      <c r="N43" s="9">
        <v>0.0</v>
      </c>
      <c r="O43" s="9">
        <v>15000.0</v>
      </c>
      <c r="R43" s="6" t="e">
        <v>#VALUE!</v>
      </c>
      <c r="S43" s="6" t="s">
        <v>380</v>
      </c>
    </row>
    <row r="44">
      <c r="A44" s="6">
        <v>43.0</v>
      </c>
      <c r="B44" s="12" t="s">
        <v>398</v>
      </c>
      <c r="C44" s="6" t="s">
        <v>41</v>
      </c>
      <c r="D44" s="6" t="s">
        <v>78</v>
      </c>
      <c r="E44" s="6" t="s">
        <v>284</v>
      </c>
      <c r="F44" s="6" t="s">
        <v>47</v>
      </c>
      <c r="G44" s="6" t="s">
        <v>48</v>
      </c>
      <c r="H44" s="7">
        <v>45673.0</v>
      </c>
      <c r="I44" s="7">
        <v>46265.0</v>
      </c>
      <c r="J44" s="6">
        <v>28.0</v>
      </c>
      <c r="K44" s="6">
        <v>26.0</v>
      </c>
      <c r="M44" s="8">
        <v>3855894.0</v>
      </c>
      <c r="N44" s="9">
        <v>0.0</v>
      </c>
      <c r="O44" s="9">
        <v>15000.0</v>
      </c>
      <c r="R44" s="6" t="e">
        <v>#VALUE!</v>
      </c>
      <c r="S44" s="6" t="s">
        <v>399</v>
      </c>
    </row>
    <row r="45">
      <c r="A45" s="6">
        <v>44.0</v>
      </c>
      <c r="B45" s="12" t="s">
        <v>401</v>
      </c>
      <c r="C45" s="6" t="s">
        <v>41</v>
      </c>
      <c r="D45" s="6" t="s">
        <v>78</v>
      </c>
      <c r="E45" s="6" t="s">
        <v>403</v>
      </c>
      <c r="F45" s="6" t="s">
        <v>47</v>
      </c>
      <c r="G45" s="6" t="s">
        <v>48</v>
      </c>
      <c r="H45" s="7">
        <v>45685.0</v>
      </c>
      <c r="I45" s="7">
        <v>46265.0</v>
      </c>
      <c r="J45" s="6">
        <v>28.0</v>
      </c>
      <c r="K45" s="6">
        <v>26.0</v>
      </c>
      <c r="M45" s="8">
        <v>3855894.0</v>
      </c>
      <c r="N45" s="9">
        <v>0.0</v>
      </c>
      <c r="O45" s="9">
        <v>15000.0</v>
      </c>
      <c r="R45" s="6" t="e">
        <v>#VALUE!</v>
      </c>
      <c r="S45" s="6" t="s">
        <v>399</v>
      </c>
    </row>
    <row r="46">
      <c r="A46" s="6">
        <v>45.0</v>
      </c>
      <c r="B46" s="6" t="s">
        <v>405</v>
      </c>
      <c r="C46" s="6" t="s">
        <v>41</v>
      </c>
      <c r="D46" s="6" t="s">
        <v>126</v>
      </c>
      <c r="E46" s="6" t="s">
        <v>407</v>
      </c>
      <c r="F46" s="6" t="s">
        <v>47</v>
      </c>
      <c r="G46" s="6" t="s">
        <v>48</v>
      </c>
      <c r="H46" s="7">
        <v>45692.0</v>
      </c>
      <c r="I46" s="7">
        <v>46265.0</v>
      </c>
      <c r="J46" s="6">
        <v>27.0</v>
      </c>
      <c r="K46" s="6">
        <v>26.0</v>
      </c>
      <c r="M46" s="8">
        <v>2742806.0</v>
      </c>
      <c r="N46" s="9">
        <v>0.0</v>
      </c>
      <c r="O46" s="9">
        <v>15000.0</v>
      </c>
      <c r="P46" s="9">
        <v>700000.0</v>
      </c>
      <c r="R46" s="9">
        <v>2183299.0</v>
      </c>
      <c r="S46" s="6" t="s">
        <v>410</v>
      </c>
    </row>
    <row r="47">
      <c r="A47" s="6">
        <v>46.0</v>
      </c>
      <c r="B47" s="6" t="s">
        <v>81</v>
      </c>
      <c r="C47" s="6" t="s">
        <v>41</v>
      </c>
      <c r="D47" s="6" t="s">
        <v>214</v>
      </c>
      <c r="E47" s="6" t="s">
        <v>411</v>
      </c>
      <c r="F47" s="6" t="s">
        <v>47</v>
      </c>
      <c r="G47" s="6" t="s">
        <v>48</v>
      </c>
      <c r="H47" s="7">
        <v>45685.0</v>
      </c>
      <c r="I47" s="7">
        <v>46265.0</v>
      </c>
      <c r="J47" s="6">
        <v>28.0</v>
      </c>
      <c r="K47" s="6">
        <v>26.0</v>
      </c>
      <c r="M47" s="8">
        <v>2570000.0</v>
      </c>
      <c r="N47" s="9">
        <v>0.0</v>
      </c>
      <c r="O47" s="9">
        <v>15000.0</v>
      </c>
      <c r="R47" s="6" t="e">
        <v>#VALUE!</v>
      </c>
      <c r="S47" s="6" t="s">
        <v>412</v>
      </c>
    </row>
    <row r="48">
      <c r="A48" s="6">
        <v>47.0</v>
      </c>
      <c r="B48" s="6" t="s">
        <v>83</v>
      </c>
      <c r="C48" s="6" t="s">
        <v>41</v>
      </c>
      <c r="D48" s="6" t="s">
        <v>214</v>
      </c>
      <c r="E48" s="6" t="s">
        <v>413</v>
      </c>
      <c r="F48" s="6" t="s">
        <v>47</v>
      </c>
      <c r="G48" s="6" t="s">
        <v>48</v>
      </c>
      <c r="H48" s="7">
        <v>45691.0</v>
      </c>
      <c r="I48" s="7">
        <v>46265.0</v>
      </c>
      <c r="J48" s="6">
        <v>27.0</v>
      </c>
      <c r="K48" s="6">
        <v>26.0</v>
      </c>
      <c r="M48" s="8">
        <v>3701709.0</v>
      </c>
      <c r="N48" s="9">
        <v>0.0</v>
      </c>
      <c r="O48" s="9">
        <v>15000.0</v>
      </c>
      <c r="R48" s="6" t="e">
        <v>#VALUE!</v>
      </c>
      <c r="S48" s="6" t="s">
        <v>253</v>
      </c>
    </row>
    <row r="49">
      <c r="A49" s="6">
        <v>48.0</v>
      </c>
      <c r="B49" s="6" t="s">
        <v>415</v>
      </c>
      <c r="C49" s="6" t="s">
        <v>41</v>
      </c>
      <c r="D49" s="6" t="s">
        <v>214</v>
      </c>
      <c r="E49" s="6" t="s">
        <v>417</v>
      </c>
      <c r="F49" s="6" t="s">
        <v>47</v>
      </c>
      <c r="G49" s="6" t="s">
        <v>48</v>
      </c>
      <c r="H49" s="7">
        <v>45693.0</v>
      </c>
      <c r="I49" s="7">
        <v>46265.0</v>
      </c>
      <c r="J49" s="6">
        <v>20.0</v>
      </c>
      <c r="K49" s="6">
        <v>26.0</v>
      </c>
      <c r="M49" s="8">
        <v>2827593.0</v>
      </c>
      <c r="N49" s="9">
        <v>0.0</v>
      </c>
      <c r="O49" s="9">
        <v>15000.0</v>
      </c>
      <c r="R49" s="6" t="e">
        <v>#VALUE!</v>
      </c>
      <c r="S49" s="6" t="s">
        <v>420</v>
      </c>
    </row>
    <row r="50">
      <c r="A50" s="6">
        <v>49.0</v>
      </c>
      <c r="B50" s="6" t="s">
        <v>85</v>
      </c>
      <c r="C50" s="6" t="s">
        <v>41</v>
      </c>
      <c r="D50" s="6" t="s">
        <v>42</v>
      </c>
      <c r="E50" s="6" t="s">
        <v>422</v>
      </c>
      <c r="F50" s="6" t="s">
        <v>47</v>
      </c>
      <c r="G50" s="6" t="s">
        <v>48</v>
      </c>
      <c r="H50" s="7">
        <v>45712.0</v>
      </c>
      <c r="I50" s="7">
        <v>46265.0</v>
      </c>
      <c r="J50" s="6">
        <v>27.0</v>
      </c>
      <c r="K50" s="6">
        <v>26.0</v>
      </c>
      <c r="M50" s="8">
        <v>5729876.0</v>
      </c>
      <c r="N50" s="9">
        <v>0.0</v>
      </c>
      <c r="O50" s="9">
        <v>15000.0</v>
      </c>
      <c r="R50" s="6" t="e">
        <v>#VALUE!</v>
      </c>
      <c r="S50" s="6" t="s">
        <v>423</v>
      </c>
    </row>
    <row r="51">
      <c r="A51" s="6">
        <v>50.0</v>
      </c>
      <c r="B51" s="6" t="s">
        <v>118</v>
      </c>
      <c r="C51" s="6" t="s">
        <v>41</v>
      </c>
      <c r="D51" s="6" t="s">
        <v>42</v>
      </c>
      <c r="E51" s="6" t="s">
        <v>424</v>
      </c>
      <c r="F51" s="6" t="s">
        <v>47</v>
      </c>
      <c r="G51" s="6" t="s">
        <v>48</v>
      </c>
      <c r="H51" s="7">
        <v>45712.0</v>
      </c>
      <c r="I51" s="7">
        <v>46265.0</v>
      </c>
      <c r="J51" s="6">
        <v>27.0</v>
      </c>
      <c r="K51" s="6">
        <v>26.0</v>
      </c>
      <c r="M51" s="8">
        <v>5729876.0</v>
      </c>
      <c r="N51" s="9">
        <v>0.0</v>
      </c>
      <c r="O51" s="9">
        <v>15000.0</v>
      </c>
      <c r="R51" s="6" t="e">
        <v>#VALUE!</v>
      </c>
      <c r="S51" s="6" t="s">
        <v>423</v>
      </c>
    </row>
    <row r="52">
      <c r="A52" s="6">
        <v>51.0</v>
      </c>
      <c r="B52" s="6" t="s">
        <v>428</v>
      </c>
      <c r="C52" s="6" t="s">
        <v>41</v>
      </c>
      <c r="D52" s="6" t="s">
        <v>214</v>
      </c>
      <c r="E52" s="6" t="s">
        <v>430</v>
      </c>
      <c r="F52" s="6" t="s">
        <v>47</v>
      </c>
      <c r="G52" s="6" t="s">
        <v>48</v>
      </c>
      <c r="H52" s="7">
        <v>45714.0</v>
      </c>
      <c r="I52" s="7">
        <v>46265.0</v>
      </c>
      <c r="J52" s="6">
        <v>27.0</v>
      </c>
      <c r="K52" s="6">
        <v>26.0</v>
      </c>
      <c r="M52" s="8">
        <v>2474598.0</v>
      </c>
      <c r="N52" s="9">
        <v>0.0</v>
      </c>
      <c r="O52" s="9">
        <v>15000.0</v>
      </c>
      <c r="R52" s="6" t="e">
        <v>#VALUE!</v>
      </c>
      <c r="S52" s="6" t="s">
        <v>432</v>
      </c>
    </row>
    <row r="53">
      <c r="A53" s="6">
        <v>52.0</v>
      </c>
      <c r="B53" s="6" t="s">
        <v>433</v>
      </c>
      <c r="C53" s="6" t="s">
        <v>41</v>
      </c>
      <c r="D53" s="6" t="s">
        <v>100</v>
      </c>
      <c r="E53" s="6" t="s">
        <v>435</v>
      </c>
      <c r="F53" s="6" t="s">
        <v>47</v>
      </c>
      <c r="G53" s="6" t="s">
        <v>48</v>
      </c>
      <c r="H53" s="7">
        <v>45719.0</v>
      </c>
      <c r="I53" s="7">
        <v>46265.0</v>
      </c>
      <c r="J53" s="6">
        <v>23.0</v>
      </c>
      <c r="K53" s="6">
        <v>26.0</v>
      </c>
      <c r="M53" s="8">
        <v>4148179.0</v>
      </c>
      <c r="N53" s="9">
        <v>0.0</v>
      </c>
      <c r="O53" s="9">
        <v>15000.0</v>
      </c>
      <c r="P53" s="9">
        <v>439000.0</v>
      </c>
      <c r="R53" s="9">
        <v>3265543.0</v>
      </c>
      <c r="S53" s="6" t="s">
        <v>436</v>
      </c>
    </row>
    <row r="54">
      <c r="A54" s="6">
        <v>53.0</v>
      </c>
      <c r="B54" s="6" t="s">
        <v>121</v>
      </c>
      <c r="C54" s="6" t="s">
        <v>41</v>
      </c>
      <c r="D54" s="6" t="s">
        <v>239</v>
      </c>
      <c r="E54" s="6" t="s">
        <v>437</v>
      </c>
      <c r="F54" s="6" t="s">
        <v>47</v>
      </c>
      <c r="G54" s="6" t="s">
        <v>48</v>
      </c>
      <c r="H54" s="7">
        <v>45741.0</v>
      </c>
      <c r="I54" s="7">
        <v>46265.0</v>
      </c>
      <c r="J54" s="6">
        <v>25.0</v>
      </c>
      <c r="K54" s="6">
        <v>26.0</v>
      </c>
      <c r="M54" s="8">
        <v>4335198.0</v>
      </c>
      <c r="N54" s="9">
        <v>0.0</v>
      </c>
      <c r="O54" s="9">
        <v>15000.0</v>
      </c>
      <c r="R54" s="6" t="e">
        <v>#VALUE!</v>
      </c>
      <c r="S54" s="6" t="s">
        <v>244</v>
      </c>
    </row>
    <row r="55">
      <c r="A55" s="6">
        <v>54.0</v>
      </c>
      <c r="B55" s="12" t="s">
        <v>439</v>
      </c>
      <c r="C55" s="6" t="s">
        <v>41</v>
      </c>
      <c r="D55" s="6" t="s">
        <v>115</v>
      </c>
      <c r="E55" s="6" t="s">
        <v>441</v>
      </c>
      <c r="F55" s="6" t="s">
        <v>47</v>
      </c>
      <c r="G55" s="6" t="s">
        <v>48</v>
      </c>
      <c r="H55" s="7">
        <v>45761.0</v>
      </c>
      <c r="I55" s="7">
        <v>46265.0</v>
      </c>
      <c r="J55" s="6">
        <v>25.0</v>
      </c>
      <c r="K55" s="6">
        <v>26.0</v>
      </c>
      <c r="M55" s="8">
        <v>3856694.0</v>
      </c>
      <c r="N55" s="9">
        <v>0.0</v>
      </c>
      <c r="O55" s="9">
        <v>15000.0</v>
      </c>
      <c r="P55" s="9">
        <v>1840500.0</v>
      </c>
      <c r="R55" s="9">
        <v>1902860.0</v>
      </c>
      <c r="S55" s="6" t="s">
        <v>443</v>
      </c>
    </row>
    <row r="56">
      <c r="A56" s="6">
        <v>55.0</v>
      </c>
      <c r="B56" s="6" t="s">
        <v>123</v>
      </c>
      <c r="C56" s="6" t="s">
        <v>41</v>
      </c>
      <c r="D56" s="6" t="s">
        <v>108</v>
      </c>
      <c r="E56" s="6" t="s">
        <v>445</v>
      </c>
      <c r="F56" s="6" t="s">
        <v>47</v>
      </c>
      <c r="G56" s="6" t="s">
        <v>48</v>
      </c>
      <c r="H56" s="7">
        <v>45769.0</v>
      </c>
      <c r="I56" s="7">
        <v>46265.0</v>
      </c>
      <c r="J56" s="6">
        <v>31.0</v>
      </c>
      <c r="K56" s="6">
        <v>26.0</v>
      </c>
      <c r="M56" s="8">
        <v>3942963.0</v>
      </c>
      <c r="N56" s="9">
        <v>0.0</v>
      </c>
      <c r="O56" s="9">
        <v>15000.0</v>
      </c>
      <c r="R56" s="6" t="e">
        <v>#VALUE!</v>
      </c>
      <c r="S56" s="6" t="s">
        <v>446</v>
      </c>
    </row>
    <row r="57">
      <c r="A57" s="6">
        <v>56.0</v>
      </c>
      <c r="B57" s="6" t="s">
        <v>125</v>
      </c>
      <c r="C57" s="6" t="s">
        <v>41</v>
      </c>
      <c r="D57" s="6" t="s">
        <v>42</v>
      </c>
      <c r="E57" s="6" t="s">
        <v>447</v>
      </c>
      <c r="F57" s="6" t="s">
        <v>47</v>
      </c>
      <c r="G57" s="6" t="s">
        <v>48</v>
      </c>
      <c r="H57" s="7">
        <v>45796.0</v>
      </c>
      <c r="I57" s="7">
        <v>46265.0</v>
      </c>
      <c r="J57" s="6">
        <v>26.0</v>
      </c>
      <c r="K57" s="6">
        <v>26.0</v>
      </c>
      <c r="M57" s="8">
        <v>5437203.0</v>
      </c>
      <c r="N57" s="9">
        <v>0.0</v>
      </c>
      <c r="O57" s="9">
        <v>15000.0</v>
      </c>
      <c r="R57" s="6" t="e">
        <v>#VALUE!</v>
      </c>
      <c r="S57" s="6" t="s">
        <v>448</v>
      </c>
    </row>
    <row r="58">
      <c r="A58" s="6">
        <v>57.0</v>
      </c>
      <c r="B58" s="6" t="s">
        <v>129</v>
      </c>
      <c r="C58" s="6" t="s">
        <v>41</v>
      </c>
      <c r="D58" s="6" t="s">
        <v>108</v>
      </c>
      <c r="E58" s="6" t="s">
        <v>452</v>
      </c>
      <c r="F58" s="6" t="s">
        <v>47</v>
      </c>
      <c r="G58" s="6" t="s">
        <v>48</v>
      </c>
      <c r="H58" s="7">
        <v>45784.0</v>
      </c>
      <c r="I58" s="7">
        <v>46265.0</v>
      </c>
      <c r="J58" s="6">
        <v>24.0</v>
      </c>
      <c r="K58" s="6">
        <v>26.0</v>
      </c>
      <c r="M58" s="8">
        <v>4192837.0</v>
      </c>
      <c r="N58" s="9">
        <v>0.0</v>
      </c>
      <c r="O58" s="9">
        <v>15000.0</v>
      </c>
      <c r="R58" s="6" t="e">
        <v>#VALUE!</v>
      </c>
      <c r="S58" s="6" t="s">
        <v>456</v>
      </c>
    </row>
    <row r="59">
      <c r="A59" s="6">
        <v>58.0</v>
      </c>
      <c r="B59" s="6" t="s">
        <v>132</v>
      </c>
      <c r="C59" s="6" t="s">
        <v>41</v>
      </c>
      <c r="D59" s="6" t="s">
        <v>458</v>
      </c>
      <c r="E59" s="6" t="s">
        <v>459</v>
      </c>
      <c r="F59" s="6" t="s">
        <v>47</v>
      </c>
      <c r="G59" s="6" t="s">
        <v>48</v>
      </c>
      <c r="H59" s="7">
        <v>45796.0</v>
      </c>
      <c r="I59" s="7">
        <v>46265.0</v>
      </c>
      <c r="J59" s="6">
        <v>27.0</v>
      </c>
      <c r="K59" s="6">
        <v>26.0</v>
      </c>
      <c r="M59" s="8">
        <v>5357982.0</v>
      </c>
      <c r="N59" s="9">
        <v>0.0</v>
      </c>
      <c r="O59" s="9">
        <v>15000.0</v>
      </c>
      <c r="R59" s="6" t="e">
        <v>#VALUE!</v>
      </c>
      <c r="S59" s="6" t="s">
        <v>460</v>
      </c>
    </row>
    <row r="60">
      <c r="A60" s="6">
        <v>59.0</v>
      </c>
      <c r="B60" s="6" t="s">
        <v>135</v>
      </c>
      <c r="C60" s="6" t="s">
        <v>41</v>
      </c>
      <c r="D60" s="6" t="s">
        <v>100</v>
      </c>
      <c r="E60" s="6" t="s">
        <v>461</v>
      </c>
      <c r="F60" s="6" t="s">
        <v>47</v>
      </c>
      <c r="G60" s="6" t="s">
        <v>48</v>
      </c>
      <c r="H60" s="7">
        <v>45803.0</v>
      </c>
      <c r="I60" s="7">
        <v>46265.0</v>
      </c>
      <c r="J60" s="6">
        <v>26.0</v>
      </c>
      <c r="K60" s="6">
        <v>26.0</v>
      </c>
      <c r="M60" s="8">
        <v>4148179.0</v>
      </c>
      <c r="N60" s="9">
        <v>0.0</v>
      </c>
      <c r="O60" s="9">
        <v>15000.0</v>
      </c>
      <c r="R60" s="6" t="e">
        <v>#VALUE!</v>
      </c>
      <c r="S60" s="6" t="s">
        <v>155</v>
      </c>
    </row>
    <row r="61">
      <c r="A61" s="6">
        <v>60.0</v>
      </c>
      <c r="B61" s="6" t="s">
        <v>138</v>
      </c>
      <c r="C61" s="6" t="s">
        <v>41</v>
      </c>
      <c r="D61" s="6" t="s">
        <v>126</v>
      </c>
      <c r="E61" s="6" t="s">
        <v>465</v>
      </c>
      <c r="F61" s="6" t="s">
        <v>47</v>
      </c>
      <c r="G61" s="6" t="s">
        <v>48</v>
      </c>
      <c r="H61" s="7">
        <v>45810.0</v>
      </c>
      <c r="I61" s="7">
        <v>46265.0</v>
      </c>
      <c r="J61" s="6">
        <v>26.0</v>
      </c>
      <c r="K61" s="6">
        <v>26.0</v>
      </c>
      <c r="M61" s="8">
        <v>2989145.0</v>
      </c>
      <c r="N61" s="9">
        <v>0.0</v>
      </c>
      <c r="O61" s="9">
        <v>15000.0</v>
      </c>
      <c r="R61" s="6" t="e">
        <v>#VALUE!</v>
      </c>
      <c r="S61" s="6" t="s">
        <v>468</v>
      </c>
    </row>
    <row r="62">
      <c r="A62" s="6">
        <v>61.0</v>
      </c>
      <c r="B62" s="6" t="s">
        <v>140</v>
      </c>
      <c r="C62" s="6" t="s">
        <v>41</v>
      </c>
      <c r="D62" s="6" t="s">
        <v>214</v>
      </c>
      <c r="E62" s="6" t="s">
        <v>470</v>
      </c>
      <c r="F62" s="6" t="s">
        <v>47</v>
      </c>
      <c r="G62" s="6" t="s">
        <v>48</v>
      </c>
      <c r="H62" s="7">
        <v>45812.0</v>
      </c>
      <c r="I62" s="7">
        <v>46265.0</v>
      </c>
      <c r="J62" s="6">
        <v>24.0</v>
      </c>
      <c r="K62" s="6">
        <v>26.0</v>
      </c>
      <c r="M62" s="8">
        <v>3701709.0</v>
      </c>
      <c r="N62" s="9">
        <v>0.0</v>
      </c>
      <c r="O62" s="9">
        <v>15000.0</v>
      </c>
      <c r="P62" s="9">
        <v>750000.0</v>
      </c>
      <c r="R62" s="9">
        <v>2701962.0</v>
      </c>
      <c r="S62" s="6" t="s">
        <v>471</v>
      </c>
    </row>
    <row r="63">
      <c r="A63" s="6">
        <v>62.0</v>
      </c>
      <c r="B63" s="6" t="s">
        <v>472</v>
      </c>
      <c r="C63" s="6" t="s">
        <v>41</v>
      </c>
      <c r="D63" s="6" t="s">
        <v>78</v>
      </c>
      <c r="E63" s="6" t="s">
        <v>473</v>
      </c>
      <c r="F63" s="6" t="s">
        <v>47</v>
      </c>
      <c r="G63" s="6" t="s">
        <v>48</v>
      </c>
      <c r="H63" s="7">
        <v>45817.0</v>
      </c>
      <c r="I63" s="7">
        <v>46265.0</v>
      </c>
      <c r="J63" s="6">
        <v>28.0</v>
      </c>
      <c r="K63" s="6">
        <v>26.0</v>
      </c>
      <c r="M63" s="8">
        <v>3756643.0</v>
      </c>
      <c r="N63" s="9">
        <v>0.0</v>
      </c>
      <c r="O63" s="9">
        <v>15000.0</v>
      </c>
      <c r="P63" s="9">
        <v>474000.0</v>
      </c>
      <c r="R63" s="9">
        <v>3606616.0</v>
      </c>
      <c r="S63" s="6" t="s">
        <v>475</v>
      </c>
    </row>
    <row r="64">
      <c r="A64" s="6">
        <v>63.0</v>
      </c>
      <c r="B64" s="6" t="s">
        <v>476</v>
      </c>
      <c r="C64" s="6" t="s">
        <v>41</v>
      </c>
      <c r="D64" s="6" t="s">
        <v>115</v>
      </c>
      <c r="E64" s="6" t="s">
        <v>478</v>
      </c>
      <c r="F64" s="6" t="s">
        <v>47</v>
      </c>
      <c r="G64" s="6" t="s">
        <v>48</v>
      </c>
      <c r="H64" s="7">
        <v>45817.0</v>
      </c>
      <c r="I64" s="7">
        <v>46265.0</v>
      </c>
      <c r="J64" s="6">
        <v>29.0</v>
      </c>
      <c r="K64" s="6">
        <v>26.0</v>
      </c>
      <c r="M64" s="8">
        <v>4391337.0</v>
      </c>
      <c r="N64" s="9">
        <v>0.0</v>
      </c>
      <c r="O64" s="9">
        <v>15000.0</v>
      </c>
      <c r="P64" s="9">
        <v>750000.0</v>
      </c>
      <c r="R64" s="9">
        <v>4183030.0</v>
      </c>
      <c r="S64" s="6" t="s">
        <v>481</v>
      </c>
    </row>
    <row r="65">
      <c r="A65" s="6">
        <v>64.0</v>
      </c>
      <c r="B65" s="6" t="s">
        <v>141</v>
      </c>
      <c r="C65" s="6" t="s">
        <v>41</v>
      </c>
      <c r="D65" s="6" t="s">
        <v>214</v>
      </c>
      <c r="E65" s="6" t="s">
        <v>482</v>
      </c>
      <c r="F65" s="6" t="s">
        <v>47</v>
      </c>
      <c r="G65" s="6" t="s">
        <v>48</v>
      </c>
      <c r="H65" s="7">
        <v>45819.0</v>
      </c>
      <c r="I65" s="7">
        <v>46265.0</v>
      </c>
      <c r="J65" s="6">
        <v>28.0</v>
      </c>
      <c r="K65" s="6">
        <v>26.0</v>
      </c>
      <c r="M65" s="8">
        <v>2827593.0</v>
      </c>
      <c r="N65" s="9">
        <v>0.0</v>
      </c>
      <c r="O65" s="9">
        <v>15000.0</v>
      </c>
      <c r="R65" s="6" t="e">
        <v>#VALUE!</v>
      </c>
      <c r="S65" s="6" t="s">
        <v>483</v>
      </c>
    </row>
    <row r="66">
      <c r="A66" s="6">
        <v>65.0</v>
      </c>
      <c r="B66" s="6" t="s">
        <v>142</v>
      </c>
      <c r="C66" s="6" t="s">
        <v>41</v>
      </c>
      <c r="D66" s="6" t="s">
        <v>115</v>
      </c>
      <c r="E66" s="6" t="s">
        <v>484</v>
      </c>
      <c r="F66" s="6" t="s">
        <v>47</v>
      </c>
      <c r="G66" s="6" t="s">
        <v>48</v>
      </c>
      <c r="H66" s="7">
        <v>45824.0</v>
      </c>
      <c r="I66" s="7">
        <v>46265.0</v>
      </c>
      <c r="J66" s="6">
        <v>26.0</v>
      </c>
      <c r="K66" s="6">
        <v>26.0</v>
      </c>
      <c r="M66" s="8">
        <v>3856694.0</v>
      </c>
      <c r="N66" s="9">
        <v>0.0</v>
      </c>
      <c r="O66" s="9">
        <v>15000.0</v>
      </c>
      <c r="P66" s="9">
        <v>750000.0</v>
      </c>
      <c r="R66" s="9">
        <v>3141694.0</v>
      </c>
      <c r="S66" s="6" t="s">
        <v>489</v>
      </c>
    </row>
    <row r="67">
      <c r="A67" s="6">
        <v>66.0</v>
      </c>
      <c r="B67" s="6" t="s">
        <v>144</v>
      </c>
      <c r="C67" s="6" t="s">
        <v>41</v>
      </c>
      <c r="D67" s="6" t="s">
        <v>214</v>
      </c>
      <c r="E67" s="6" t="s">
        <v>492</v>
      </c>
      <c r="F67" s="6" t="s">
        <v>47</v>
      </c>
      <c r="G67" s="6" t="s">
        <v>48</v>
      </c>
      <c r="H67" s="7">
        <v>45826.0</v>
      </c>
      <c r="I67" s="7">
        <v>46265.0</v>
      </c>
      <c r="J67" s="6">
        <v>27.0</v>
      </c>
      <c r="K67" s="6">
        <v>26.0</v>
      </c>
      <c r="M67" s="8">
        <v>2500000.0</v>
      </c>
      <c r="N67" s="9">
        <v>0.0</v>
      </c>
      <c r="O67" s="9">
        <v>15000.0</v>
      </c>
      <c r="R67" s="6" t="e">
        <v>#VALUE!</v>
      </c>
      <c r="S67" s="6" t="s">
        <v>494</v>
      </c>
    </row>
    <row r="68">
      <c r="A68" s="6">
        <v>67.0</v>
      </c>
      <c r="B68" s="6" t="s">
        <v>146</v>
      </c>
      <c r="C68" s="6" t="s">
        <v>41</v>
      </c>
      <c r="D68" s="6" t="s">
        <v>78</v>
      </c>
      <c r="E68" s="6" t="s">
        <v>495</v>
      </c>
      <c r="F68" s="6" t="s">
        <v>47</v>
      </c>
      <c r="G68" s="6" t="s">
        <v>48</v>
      </c>
      <c r="H68" s="7">
        <v>45835.0</v>
      </c>
      <c r="I68" s="7">
        <v>46265.0</v>
      </c>
      <c r="J68" s="6">
        <v>24.0</v>
      </c>
      <c r="K68" s="6">
        <v>26.0</v>
      </c>
      <c r="M68" s="8">
        <v>3686138.0</v>
      </c>
      <c r="N68" s="9">
        <v>0.0</v>
      </c>
      <c r="O68" s="9">
        <v>15000.0</v>
      </c>
      <c r="R68" s="6" t="e">
        <v>#VALUE!</v>
      </c>
      <c r="S68" s="6" t="s">
        <v>496</v>
      </c>
    </row>
    <row r="69">
      <c r="A69" s="6">
        <v>68.0</v>
      </c>
      <c r="B69" s="6" t="s">
        <v>150</v>
      </c>
      <c r="C69" s="6" t="s">
        <v>41</v>
      </c>
      <c r="D69" s="6" t="s">
        <v>42</v>
      </c>
      <c r="E69" s="6" t="s">
        <v>497</v>
      </c>
      <c r="F69" s="6" t="s">
        <v>47</v>
      </c>
      <c r="G69" s="6" t="s">
        <v>48</v>
      </c>
      <c r="H69" s="7">
        <v>45838.0</v>
      </c>
      <c r="I69" s="7">
        <v>46265.0</v>
      </c>
      <c r="J69" s="6">
        <v>27.0</v>
      </c>
      <c r="K69" s="6">
        <v>26.0</v>
      </c>
      <c r="M69" s="8">
        <v>5399405.0</v>
      </c>
      <c r="N69" s="9">
        <v>0.0</v>
      </c>
      <c r="O69" s="9">
        <v>15000.0</v>
      </c>
      <c r="R69" s="6" t="e">
        <v>#VALUE!</v>
      </c>
      <c r="S69" s="6" t="s">
        <v>499</v>
      </c>
    </row>
    <row r="70">
      <c r="A70" s="6">
        <v>69.0</v>
      </c>
      <c r="B70" s="6" t="s">
        <v>151</v>
      </c>
      <c r="C70" s="6" t="s">
        <v>41</v>
      </c>
      <c r="D70" s="6" t="s">
        <v>214</v>
      </c>
      <c r="E70" s="6" t="s">
        <v>503</v>
      </c>
      <c r="F70" s="6" t="s">
        <v>47</v>
      </c>
      <c r="G70" s="6" t="s">
        <v>48</v>
      </c>
      <c r="H70" s="7">
        <v>45839.0</v>
      </c>
      <c r="I70" s="7">
        <v>46265.0</v>
      </c>
      <c r="J70" s="6">
        <v>29.0</v>
      </c>
      <c r="K70" s="6">
        <v>26.0</v>
      </c>
      <c r="M70" s="8">
        <v>3701709.0</v>
      </c>
      <c r="N70" s="9">
        <v>0.0</v>
      </c>
      <c r="O70" s="9">
        <v>15000.0</v>
      </c>
      <c r="R70" s="6" t="e">
        <v>#VALUE!</v>
      </c>
      <c r="S70" s="6" t="s">
        <v>506</v>
      </c>
    </row>
    <row r="71">
      <c r="A71" s="6">
        <v>70.0</v>
      </c>
      <c r="B71" s="6" t="s">
        <v>152</v>
      </c>
      <c r="C71" s="6" t="s">
        <v>41</v>
      </c>
      <c r="D71" s="6" t="s">
        <v>507</v>
      </c>
      <c r="E71" s="6" t="s">
        <v>508</v>
      </c>
      <c r="F71" s="6" t="s">
        <v>47</v>
      </c>
      <c r="G71" s="6" t="s">
        <v>48</v>
      </c>
      <c r="H71" s="7">
        <v>45845.0</v>
      </c>
      <c r="I71" s="7">
        <v>46265.0</v>
      </c>
      <c r="J71" s="6">
        <v>30.0</v>
      </c>
      <c r="K71" s="6">
        <v>26.0</v>
      </c>
      <c r="M71" s="8">
        <v>3205220.0</v>
      </c>
      <c r="N71" s="9">
        <v>0.0</v>
      </c>
      <c r="O71" s="9">
        <v>15000.0</v>
      </c>
      <c r="P71" s="9">
        <v>1588500.0</v>
      </c>
      <c r="R71" s="9">
        <v>2144831.0</v>
      </c>
      <c r="S71" s="6" t="s">
        <v>509</v>
      </c>
    </row>
    <row r="72">
      <c r="A72" s="6">
        <v>71.0</v>
      </c>
      <c r="B72" s="6" t="s">
        <v>166</v>
      </c>
      <c r="C72" s="6" t="s">
        <v>41</v>
      </c>
      <c r="D72" s="6" t="s">
        <v>115</v>
      </c>
      <c r="E72" s="6" t="s">
        <v>511</v>
      </c>
      <c r="F72" s="6" t="s">
        <v>47</v>
      </c>
      <c r="G72" s="6" t="s">
        <v>48</v>
      </c>
      <c r="H72" s="7">
        <v>45915.0</v>
      </c>
      <c r="I72" s="7">
        <v>46265.0</v>
      </c>
      <c r="J72" s="6">
        <v>27.0</v>
      </c>
      <c r="K72" s="6">
        <v>26.0</v>
      </c>
      <c r="M72" s="8">
        <v>3799480.0</v>
      </c>
      <c r="N72" s="9">
        <v>0.0</v>
      </c>
      <c r="O72" s="9">
        <v>15000.0</v>
      </c>
      <c r="P72" s="9">
        <v>1683500.0</v>
      </c>
      <c r="R72" s="9">
        <v>2297114.0</v>
      </c>
      <c r="S72" s="6" t="s">
        <v>514</v>
      </c>
    </row>
    <row r="73">
      <c r="A73" s="6">
        <v>72.0</v>
      </c>
      <c r="B73" s="6" t="s">
        <v>515</v>
      </c>
      <c r="C73" s="6" t="s">
        <v>41</v>
      </c>
      <c r="D73" s="6" t="s">
        <v>126</v>
      </c>
      <c r="E73" s="6" t="s">
        <v>516</v>
      </c>
      <c r="F73" s="6" t="s">
        <v>47</v>
      </c>
      <c r="G73" s="6" t="s">
        <v>48</v>
      </c>
      <c r="H73" s="7">
        <v>45920.0</v>
      </c>
      <c r="I73" s="7">
        <v>46265.0</v>
      </c>
      <c r="J73" s="6">
        <v>23.0</v>
      </c>
      <c r="K73" s="6">
        <v>26.0</v>
      </c>
      <c r="M73" s="8">
        <v>3019015.0</v>
      </c>
      <c r="N73" s="9">
        <v>0.0</v>
      </c>
      <c r="O73" s="9">
        <v>15000.0</v>
      </c>
      <c r="R73" s="6" t="e">
        <v>#VALUE!</v>
      </c>
      <c r="S73" s="6" t="s">
        <v>518</v>
      </c>
    </row>
    <row r="74">
      <c r="A74" s="6">
        <v>73.0</v>
      </c>
      <c r="B74" s="6" t="s">
        <v>519</v>
      </c>
      <c r="C74" s="6" t="s">
        <v>41</v>
      </c>
      <c r="D74" s="6" t="s">
        <v>458</v>
      </c>
      <c r="E74" s="6" t="s">
        <v>521</v>
      </c>
      <c r="F74" s="6" t="s">
        <v>47</v>
      </c>
      <c r="G74" s="6" t="s">
        <v>48</v>
      </c>
      <c r="H74" s="7">
        <v>45924.0</v>
      </c>
      <c r="I74" s="7">
        <v>46265.0</v>
      </c>
      <c r="J74" s="6">
        <v>26.0</v>
      </c>
      <c r="K74" s="6">
        <v>26.0</v>
      </c>
      <c r="M74" s="8">
        <v>5357982.0</v>
      </c>
      <c r="N74" s="9">
        <v>0.0</v>
      </c>
      <c r="O74" s="9">
        <v>15000.0</v>
      </c>
      <c r="P74" s="9">
        <v>750000.0</v>
      </c>
      <c r="R74" s="9">
        <v>4642982.0</v>
      </c>
      <c r="S74" s="6" t="s">
        <v>523</v>
      </c>
    </row>
    <row r="75">
      <c r="A75" s="6">
        <v>74.0</v>
      </c>
      <c r="B75" s="6" t="s">
        <v>171</v>
      </c>
      <c r="C75" s="6" t="s">
        <v>41</v>
      </c>
      <c r="D75" s="6" t="s">
        <v>458</v>
      </c>
      <c r="E75" s="6" t="s">
        <v>527</v>
      </c>
      <c r="F75" s="6" t="s">
        <v>47</v>
      </c>
      <c r="G75" s="6" t="s">
        <v>48</v>
      </c>
      <c r="H75" s="7">
        <v>45934.0</v>
      </c>
      <c r="I75" s="7">
        <v>46265.0</v>
      </c>
      <c r="J75" s="6">
        <v>28.0</v>
      </c>
      <c r="K75" s="6">
        <v>26.0</v>
      </c>
      <c r="M75" s="8">
        <v>5357982.0</v>
      </c>
      <c r="N75" s="9">
        <v>0.0</v>
      </c>
      <c r="O75" s="9">
        <v>15000.0</v>
      </c>
      <c r="P75" s="9">
        <v>700000.0</v>
      </c>
      <c r="R75" s="9">
        <v>5105134.0</v>
      </c>
      <c r="S75" s="6" t="s">
        <v>530</v>
      </c>
    </row>
    <row r="76">
      <c r="A76" s="6">
        <v>75.0</v>
      </c>
      <c r="B76" s="6" t="s">
        <v>531</v>
      </c>
      <c r="C76" s="6" t="s">
        <v>41</v>
      </c>
      <c r="D76" s="6" t="s">
        <v>214</v>
      </c>
      <c r="E76" s="6" t="s">
        <v>533</v>
      </c>
      <c r="F76" s="6" t="s">
        <v>47</v>
      </c>
      <c r="G76" s="6" t="s">
        <v>48</v>
      </c>
      <c r="H76" s="7">
        <v>45938.0</v>
      </c>
      <c r="I76" s="7">
        <v>46265.0</v>
      </c>
      <c r="J76" s="6">
        <v>27.0</v>
      </c>
      <c r="K76" s="6">
        <v>26.0</v>
      </c>
      <c r="M76" s="8">
        <v>3701709.0</v>
      </c>
      <c r="N76" s="9">
        <v>0.0</v>
      </c>
      <c r="O76" s="9">
        <v>15000.0</v>
      </c>
      <c r="P76" s="9">
        <v>807500.0</v>
      </c>
      <c r="R76" s="9">
        <v>3071582.0</v>
      </c>
      <c r="S76" s="6" t="s">
        <v>253</v>
      </c>
    </row>
    <row r="77">
      <c r="A77" s="6">
        <v>76.0</v>
      </c>
      <c r="B77" s="6" t="s">
        <v>175</v>
      </c>
      <c r="C77" s="6" t="s">
        <v>41</v>
      </c>
      <c r="D77" s="6" t="s">
        <v>214</v>
      </c>
      <c r="E77" s="6" t="s">
        <v>534</v>
      </c>
      <c r="F77" s="6" t="s">
        <v>47</v>
      </c>
      <c r="G77" s="6" t="s">
        <v>48</v>
      </c>
      <c r="H77" s="7">
        <v>45940.0</v>
      </c>
      <c r="I77" s="7">
        <v>46265.0</v>
      </c>
      <c r="J77" s="6">
        <v>27.0</v>
      </c>
      <c r="K77" s="6">
        <v>26.0</v>
      </c>
      <c r="M77" s="8">
        <v>2474598.0</v>
      </c>
      <c r="N77" s="9">
        <v>0.0</v>
      </c>
      <c r="O77" s="9">
        <v>15000.0</v>
      </c>
      <c r="R77" s="6" t="e">
        <v>#VALUE!</v>
      </c>
      <c r="S77" s="6" t="s">
        <v>432</v>
      </c>
    </row>
    <row r="78">
      <c r="A78" s="6">
        <v>77.0</v>
      </c>
      <c r="B78" s="6" t="s">
        <v>180</v>
      </c>
      <c r="C78" s="6" t="s">
        <v>41</v>
      </c>
      <c r="D78" s="6" t="s">
        <v>507</v>
      </c>
      <c r="E78" s="6" t="s">
        <v>537</v>
      </c>
      <c r="F78" s="6" t="s">
        <v>47</v>
      </c>
      <c r="G78" s="6" t="s">
        <v>48</v>
      </c>
      <c r="H78" s="7">
        <v>45957.0</v>
      </c>
      <c r="I78" s="7">
        <v>46265.0</v>
      </c>
      <c r="J78" s="6">
        <v>29.0</v>
      </c>
      <c r="K78" s="6">
        <v>26.0</v>
      </c>
      <c r="M78" s="8">
        <v>3561801.0</v>
      </c>
      <c r="N78" s="9">
        <v>0.0</v>
      </c>
      <c r="O78" s="9">
        <v>15000.0</v>
      </c>
      <c r="P78" s="9">
        <v>750000.0</v>
      </c>
      <c r="R78" s="9">
        <v>3257778.0</v>
      </c>
      <c r="S78" s="6" t="s">
        <v>540</v>
      </c>
    </row>
    <row r="79">
      <c r="A79" s="6">
        <v>78.0</v>
      </c>
      <c r="B79" s="6" t="s">
        <v>182</v>
      </c>
      <c r="C79" s="6" t="s">
        <v>41</v>
      </c>
      <c r="D79" s="6" t="s">
        <v>205</v>
      </c>
      <c r="E79" s="6" t="s">
        <v>542</v>
      </c>
      <c r="F79" s="6" t="s">
        <v>47</v>
      </c>
      <c r="G79" s="6" t="s">
        <v>48</v>
      </c>
      <c r="H79" s="7">
        <v>45996.0</v>
      </c>
      <c r="I79" s="7">
        <v>46265.0</v>
      </c>
      <c r="J79" s="6">
        <v>26.0</v>
      </c>
      <c r="K79" s="6">
        <v>26.0</v>
      </c>
      <c r="M79" s="8">
        <v>4737678.0</v>
      </c>
      <c r="N79" s="9">
        <v>0.0</v>
      </c>
      <c r="O79" s="9">
        <v>15000.0</v>
      </c>
      <c r="P79" s="9">
        <v>1939000.0</v>
      </c>
      <c r="R79" s="9">
        <v>2833678.0</v>
      </c>
      <c r="S79" s="6" t="s">
        <v>543</v>
      </c>
    </row>
    <row r="80">
      <c r="A80" s="6">
        <v>79.0</v>
      </c>
      <c r="B80" s="6" t="s">
        <v>183</v>
      </c>
      <c r="C80" s="6" t="s">
        <v>41</v>
      </c>
      <c r="D80" s="6" t="s">
        <v>205</v>
      </c>
      <c r="E80" s="6" t="s">
        <v>544</v>
      </c>
      <c r="F80" s="6" t="s">
        <v>47</v>
      </c>
      <c r="G80" s="6" t="s">
        <v>48</v>
      </c>
      <c r="H80" s="7">
        <v>45996.0</v>
      </c>
      <c r="I80" s="7">
        <v>46265.0</v>
      </c>
      <c r="J80" s="6">
        <v>26.0</v>
      </c>
      <c r="K80" s="6">
        <v>26.0</v>
      </c>
      <c r="M80" s="8">
        <v>4737678.0</v>
      </c>
      <c r="N80" s="9">
        <v>0.0</v>
      </c>
      <c r="O80" s="9">
        <v>15000.0</v>
      </c>
      <c r="P80" s="9">
        <v>1857000.0</v>
      </c>
      <c r="R80" s="9">
        <v>2915678.0</v>
      </c>
      <c r="S80" s="6" t="s">
        <v>543</v>
      </c>
    </row>
    <row r="81">
      <c r="A81" s="6">
        <v>80.0</v>
      </c>
      <c r="B81" s="12" t="s">
        <v>548</v>
      </c>
      <c r="C81" s="6" t="s">
        <v>41</v>
      </c>
      <c r="D81" s="6" t="s">
        <v>126</v>
      </c>
      <c r="E81" s="6" t="s">
        <v>550</v>
      </c>
      <c r="F81" s="6" t="s">
        <v>47</v>
      </c>
      <c r="G81" s="6" t="s">
        <v>48</v>
      </c>
      <c r="H81" s="7">
        <v>46000.0</v>
      </c>
      <c r="I81" s="7">
        <v>46265.0</v>
      </c>
      <c r="J81" s="6">
        <v>27.0</v>
      </c>
      <c r="K81" s="6">
        <v>26.0</v>
      </c>
      <c r="M81" s="8">
        <v>2989145.0</v>
      </c>
      <c r="N81" s="9">
        <v>0.0</v>
      </c>
      <c r="O81" s="9">
        <v>15000.0</v>
      </c>
      <c r="R81" s="6" t="e">
        <v>#VALUE!</v>
      </c>
      <c r="S81" s="6" t="s">
        <v>553</v>
      </c>
    </row>
    <row r="82">
      <c r="A82" s="6">
        <v>81.0</v>
      </c>
      <c r="B82" s="6" t="s">
        <v>186</v>
      </c>
      <c r="C82" s="6" t="s">
        <v>41</v>
      </c>
      <c r="D82" s="6" t="s">
        <v>115</v>
      </c>
      <c r="E82" s="6" t="s">
        <v>554</v>
      </c>
      <c r="F82" s="6" t="s">
        <v>47</v>
      </c>
      <c r="G82" s="6" t="s">
        <v>48</v>
      </c>
      <c r="H82" s="7">
        <v>46002.0</v>
      </c>
      <c r="I82" s="7">
        <v>46265.0</v>
      </c>
      <c r="J82" s="6">
        <v>29.0</v>
      </c>
      <c r="K82" s="6">
        <v>26.0</v>
      </c>
      <c r="M82" s="8">
        <v>3983882.0</v>
      </c>
      <c r="N82" s="9">
        <v>0.0</v>
      </c>
      <c r="O82" s="9">
        <v>15000.0</v>
      </c>
      <c r="R82" s="6" t="e">
        <v>#VALUE!</v>
      </c>
      <c r="S82" s="6" t="s">
        <v>555</v>
      </c>
    </row>
    <row r="83">
      <c r="A83" s="6">
        <v>82.0</v>
      </c>
      <c r="B83" s="6" t="s">
        <v>187</v>
      </c>
      <c r="C83" s="6" t="s">
        <v>41</v>
      </c>
      <c r="D83" s="6" t="s">
        <v>78</v>
      </c>
      <c r="E83" s="6" t="s">
        <v>556</v>
      </c>
      <c r="F83" s="6" t="s">
        <v>47</v>
      </c>
      <c r="G83" s="6" t="s">
        <v>48</v>
      </c>
      <c r="H83" s="7">
        <v>46008.0</v>
      </c>
      <c r="I83" s="7">
        <v>46265.0</v>
      </c>
      <c r="J83" s="6">
        <v>27.0</v>
      </c>
      <c r="K83" s="6">
        <v>26.0</v>
      </c>
      <c r="M83" s="8">
        <v>3843037.0</v>
      </c>
      <c r="N83" s="9">
        <v>0.0</v>
      </c>
      <c r="O83" s="9">
        <v>15000.0</v>
      </c>
      <c r="P83" s="9">
        <v>964000.0</v>
      </c>
      <c r="R83" s="9">
        <v>3061846.0</v>
      </c>
      <c r="S83" s="6" t="s">
        <v>558</v>
      </c>
    </row>
    <row r="84">
      <c r="A84" s="6">
        <v>83.0</v>
      </c>
      <c r="B84" s="6" t="s">
        <v>188</v>
      </c>
      <c r="C84" s="6" t="s">
        <v>41</v>
      </c>
      <c r="D84" s="6" t="s">
        <v>126</v>
      </c>
      <c r="E84" s="6" t="s">
        <v>562</v>
      </c>
      <c r="F84" s="6" t="s">
        <v>47</v>
      </c>
      <c r="G84" s="6" t="s">
        <v>48</v>
      </c>
      <c r="H84" s="7">
        <v>46008.0</v>
      </c>
      <c r="I84" s="7">
        <v>46265.0</v>
      </c>
      <c r="J84" s="6">
        <v>27.0</v>
      </c>
      <c r="K84" s="6">
        <v>26.0</v>
      </c>
      <c r="M84" s="8">
        <v>3012197.0</v>
      </c>
      <c r="N84" s="9">
        <v>0.0</v>
      </c>
      <c r="O84" s="9">
        <v>15000.0</v>
      </c>
      <c r="R84" s="6" t="e">
        <v>#VALUE!</v>
      </c>
      <c r="S84" s="6" t="s">
        <v>564</v>
      </c>
    </row>
    <row r="85">
      <c r="A85" s="6">
        <v>84.0</v>
      </c>
      <c r="B85" s="6" t="s">
        <v>190</v>
      </c>
      <c r="C85" s="6" t="s">
        <v>41</v>
      </c>
      <c r="D85" s="6" t="s">
        <v>126</v>
      </c>
      <c r="E85" s="6" t="s">
        <v>565</v>
      </c>
      <c r="F85" s="6" t="s">
        <v>47</v>
      </c>
      <c r="G85" s="6" t="s">
        <v>48</v>
      </c>
      <c r="H85" s="7">
        <v>46015.0</v>
      </c>
      <c r="I85" s="7">
        <v>46265.0</v>
      </c>
      <c r="J85" s="6">
        <v>29.0</v>
      </c>
      <c r="K85" s="6">
        <v>26.0</v>
      </c>
      <c r="M85" s="8">
        <v>2549876.0</v>
      </c>
      <c r="N85" s="9">
        <v>0.0</v>
      </c>
      <c r="O85" s="9">
        <v>15000.0</v>
      </c>
      <c r="R85" s="6" t="e">
        <v>#VALUE!</v>
      </c>
      <c r="S85" s="6" t="s">
        <v>566</v>
      </c>
    </row>
    <row r="86">
      <c r="A86" s="6">
        <v>85.0</v>
      </c>
      <c r="B86" s="12" t="s">
        <v>567</v>
      </c>
      <c r="C86" s="6" t="s">
        <v>41</v>
      </c>
      <c r="D86" s="6" t="s">
        <v>100</v>
      </c>
      <c r="E86" s="6" t="s">
        <v>568</v>
      </c>
      <c r="F86" s="6" t="s">
        <v>47</v>
      </c>
      <c r="G86" s="6" t="s">
        <v>48</v>
      </c>
      <c r="H86" s="7">
        <v>46024.0</v>
      </c>
      <c r="I86" s="7">
        <v>46265.0</v>
      </c>
      <c r="J86" s="6">
        <v>25.0</v>
      </c>
      <c r="K86" s="6">
        <v>26.0</v>
      </c>
      <c r="M86" s="8">
        <v>4148179.0</v>
      </c>
      <c r="N86" s="9">
        <v>0.0</v>
      </c>
      <c r="O86" s="9">
        <v>15000.0</v>
      </c>
      <c r="P86" s="9">
        <v>944000.0</v>
      </c>
      <c r="R86" s="9">
        <v>3079634.0</v>
      </c>
      <c r="S86" s="6" t="s">
        <v>572</v>
      </c>
    </row>
    <row r="87">
      <c r="A87" s="6">
        <v>86.0</v>
      </c>
      <c r="B87" s="6" t="s">
        <v>199</v>
      </c>
      <c r="C87" s="6" t="s">
        <v>41</v>
      </c>
      <c r="D87" s="6" t="s">
        <v>214</v>
      </c>
      <c r="E87" s="6" t="s">
        <v>574</v>
      </c>
      <c r="F87" s="6" t="s">
        <v>47</v>
      </c>
      <c r="G87" s="6" t="s">
        <v>48</v>
      </c>
      <c r="H87" s="7">
        <v>46027.0</v>
      </c>
      <c r="I87" s="7">
        <v>46265.0</v>
      </c>
      <c r="J87" s="6">
        <v>27.0</v>
      </c>
      <c r="K87" s="6">
        <v>26.0</v>
      </c>
      <c r="M87" s="8">
        <v>2880798.0</v>
      </c>
      <c r="N87" s="9">
        <v>0.0</v>
      </c>
      <c r="O87" s="9">
        <v>15000.0</v>
      </c>
      <c r="R87" s="6" t="e">
        <v>#VALUE!</v>
      </c>
      <c r="S87" s="6" t="s">
        <v>577</v>
      </c>
    </row>
    <row r="88">
      <c r="A88" s="6">
        <v>87.0</v>
      </c>
      <c r="B88" s="12" t="s">
        <v>578</v>
      </c>
      <c r="C88" s="6" t="s">
        <v>41</v>
      </c>
      <c r="D88" s="6" t="s">
        <v>126</v>
      </c>
      <c r="E88" s="6" t="s">
        <v>579</v>
      </c>
      <c r="F88" s="6" t="s">
        <v>47</v>
      </c>
      <c r="G88" s="6" t="s">
        <v>48</v>
      </c>
      <c r="H88" s="7">
        <v>46022.0</v>
      </c>
      <c r="I88" s="7">
        <v>46265.0</v>
      </c>
      <c r="J88" s="6">
        <v>26.0</v>
      </c>
      <c r="K88" s="6">
        <v>26.0</v>
      </c>
      <c r="M88" s="8">
        <v>5288796.0</v>
      </c>
      <c r="N88" s="9">
        <v>0.0</v>
      </c>
      <c r="O88" s="9">
        <v>15000.0</v>
      </c>
      <c r="R88" s="6" t="e">
        <v>#VALUE!</v>
      </c>
      <c r="S88" s="6" t="s">
        <v>264</v>
      </c>
    </row>
    <row r="89">
      <c r="A89" s="6">
        <v>88.0</v>
      </c>
      <c r="B89" s="6" t="s">
        <v>202</v>
      </c>
      <c r="C89" s="6" t="s">
        <v>41</v>
      </c>
      <c r="D89" s="6" t="s">
        <v>126</v>
      </c>
      <c r="E89" s="6" t="s">
        <v>580</v>
      </c>
      <c r="F89" s="6" t="s">
        <v>47</v>
      </c>
      <c r="G89" s="6" t="s">
        <v>48</v>
      </c>
      <c r="H89" s="7">
        <v>46022.0</v>
      </c>
      <c r="I89" s="7">
        <v>46265.0</v>
      </c>
      <c r="J89" s="6">
        <v>25.0</v>
      </c>
      <c r="K89" s="6">
        <v>26.0</v>
      </c>
      <c r="M89" s="8">
        <v>5191541.0</v>
      </c>
      <c r="N89" s="9">
        <v>0.0</v>
      </c>
      <c r="O89" s="9">
        <v>15000.0</v>
      </c>
      <c r="R89" s="6" t="e">
        <v>#VALUE!</v>
      </c>
      <c r="S89" s="6" t="s">
        <v>582</v>
      </c>
    </row>
    <row r="90">
      <c r="A90" s="6">
        <v>89.0</v>
      </c>
      <c r="B90" s="6" t="s">
        <v>204</v>
      </c>
      <c r="C90" s="6" t="s">
        <v>41</v>
      </c>
      <c r="D90" s="6" t="s">
        <v>214</v>
      </c>
      <c r="E90" s="6" t="s">
        <v>585</v>
      </c>
      <c r="F90" s="6" t="s">
        <v>47</v>
      </c>
      <c r="G90" s="6" t="s">
        <v>48</v>
      </c>
      <c r="H90" s="7">
        <v>46034.0</v>
      </c>
      <c r="I90" s="7">
        <v>46265.0</v>
      </c>
      <c r="J90" s="6">
        <v>27.0</v>
      </c>
      <c r="K90" s="6">
        <v>26.0</v>
      </c>
      <c r="M90" s="8">
        <v>2818585.0</v>
      </c>
      <c r="N90" s="9">
        <v>0.0</v>
      </c>
      <c r="O90" s="9">
        <v>15000.0</v>
      </c>
      <c r="R90" s="6" t="e">
        <v>#VALUE!</v>
      </c>
      <c r="S90" s="6" t="s">
        <v>587</v>
      </c>
    </row>
    <row r="91">
      <c r="A91" s="6">
        <v>90.0</v>
      </c>
      <c r="B91" s="6" t="s">
        <v>208</v>
      </c>
      <c r="C91" s="6" t="s">
        <v>41</v>
      </c>
      <c r="D91" s="6" t="s">
        <v>126</v>
      </c>
      <c r="E91" s="6" t="s">
        <v>588</v>
      </c>
      <c r="F91" s="6" t="s">
        <v>47</v>
      </c>
      <c r="G91" s="6" t="s">
        <v>48</v>
      </c>
      <c r="H91" s="7">
        <v>46034.0</v>
      </c>
      <c r="I91" s="7">
        <v>46265.0</v>
      </c>
      <c r="J91" s="6">
        <v>27.0</v>
      </c>
      <c r="K91" s="6">
        <v>26.0</v>
      </c>
      <c r="M91" s="8">
        <v>3019015.0</v>
      </c>
      <c r="N91" s="9">
        <v>0.0</v>
      </c>
      <c r="O91" s="9">
        <v>15000.0</v>
      </c>
      <c r="R91" s="6" t="e">
        <v>#VALUE!</v>
      </c>
      <c r="S91" s="6" t="s">
        <v>589</v>
      </c>
    </row>
    <row r="92">
      <c r="A92" s="6">
        <v>91.0</v>
      </c>
      <c r="B92" s="6" t="s">
        <v>210</v>
      </c>
      <c r="C92" s="6" t="s">
        <v>41</v>
      </c>
      <c r="D92" s="6" t="s">
        <v>205</v>
      </c>
      <c r="E92" s="6" t="s">
        <v>590</v>
      </c>
      <c r="F92" s="6" t="s">
        <v>47</v>
      </c>
      <c r="G92" s="6" t="s">
        <v>48</v>
      </c>
      <c r="H92" s="7">
        <v>46036.0</v>
      </c>
      <c r="I92" s="7">
        <v>46265.0</v>
      </c>
      <c r="J92" s="6">
        <v>27.0</v>
      </c>
      <c r="K92" s="6">
        <v>26.0</v>
      </c>
      <c r="M92" s="8">
        <v>4737678.0</v>
      </c>
      <c r="N92" s="9">
        <v>0.0</v>
      </c>
      <c r="O92" s="9">
        <v>15000.0</v>
      </c>
      <c r="R92" s="6" t="e">
        <v>#VALUE!</v>
      </c>
      <c r="S92" s="6" t="s">
        <v>591</v>
      </c>
    </row>
    <row r="93">
      <c r="A93" s="6">
        <v>92.0</v>
      </c>
      <c r="B93" s="6" t="s">
        <v>212</v>
      </c>
      <c r="C93" s="6" t="s">
        <v>41</v>
      </c>
      <c r="D93" s="6" t="s">
        <v>126</v>
      </c>
      <c r="E93" s="6" t="s">
        <v>595</v>
      </c>
      <c r="F93" s="6" t="s">
        <v>47</v>
      </c>
      <c r="G93" s="6" t="s">
        <v>48</v>
      </c>
      <c r="H93" s="7">
        <v>46043.0</v>
      </c>
      <c r="I93" s="7">
        <v>46265.0</v>
      </c>
      <c r="J93" s="6">
        <v>27.0</v>
      </c>
      <c r="K93" s="6">
        <v>26.0</v>
      </c>
      <c r="M93" s="8">
        <v>5288796.0</v>
      </c>
      <c r="N93" s="9">
        <v>0.0</v>
      </c>
      <c r="O93" s="9">
        <v>15000.0</v>
      </c>
      <c r="P93" s="9">
        <v>672000.0</v>
      </c>
      <c r="R93" s="9">
        <v>4855211.0</v>
      </c>
      <c r="S93" s="6" t="s">
        <v>134</v>
      </c>
    </row>
    <row r="94">
      <c r="A94" s="6">
        <v>93.0</v>
      </c>
      <c r="B94" s="6" t="s">
        <v>213</v>
      </c>
      <c r="C94" s="6" t="s">
        <v>41</v>
      </c>
      <c r="D94" s="6" t="s">
        <v>126</v>
      </c>
      <c r="E94" s="6" t="s">
        <v>598</v>
      </c>
      <c r="F94" s="6" t="s">
        <v>47</v>
      </c>
      <c r="G94" s="6" t="s">
        <v>48</v>
      </c>
      <c r="H94" s="7">
        <v>46047.0</v>
      </c>
      <c r="I94" s="7">
        <v>46265.0</v>
      </c>
      <c r="J94" s="6">
        <v>27.0</v>
      </c>
      <c r="K94" s="6">
        <v>26.0</v>
      </c>
      <c r="M94" s="8">
        <v>5288796.0</v>
      </c>
      <c r="N94" s="9">
        <v>0.0</v>
      </c>
      <c r="O94" s="9">
        <v>15000.0</v>
      </c>
      <c r="R94" s="6" t="e">
        <v>#VALUE!</v>
      </c>
      <c r="S94" s="6" t="s">
        <v>134</v>
      </c>
    </row>
    <row r="95">
      <c r="A95" s="6">
        <v>94.0</v>
      </c>
      <c r="B95" s="6" t="s">
        <v>215</v>
      </c>
      <c r="C95" s="6" t="s">
        <v>41</v>
      </c>
      <c r="D95" s="6" t="s">
        <v>205</v>
      </c>
      <c r="E95" s="6" t="s">
        <v>601</v>
      </c>
      <c r="F95" s="6" t="s">
        <v>47</v>
      </c>
      <c r="G95" s="6" t="s">
        <v>48</v>
      </c>
      <c r="H95" s="7">
        <v>46055.0</v>
      </c>
      <c r="I95" s="7">
        <v>46265.0</v>
      </c>
      <c r="J95" s="6">
        <v>28.0</v>
      </c>
      <c r="K95" s="6">
        <v>26.0</v>
      </c>
      <c r="M95" s="8">
        <v>4737678.0</v>
      </c>
      <c r="N95" s="9">
        <v>0.0</v>
      </c>
      <c r="O95" s="9">
        <v>15000.0</v>
      </c>
      <c r="P95" s="9">
        <v>860500.0</v>
      </c>
      <c r="R95" s="9">
        <v>4276615.0</v>
      </c>
      <c r="S95" s="6" t="s">
        <v>368</v>
      </c>
    </row>
    <row r="96">
      <c r="A96" s="6">
        <v>95.0</v>
      </c>
      <c r="B96" s="6" t="s">
        <v>217</v>
      </c>
      <c r="C96" s="6" t="s">
        <v>41</v>
      </c>
      <c r="D96" s="6" t="s">
        <v>42</v>
      </c>
      <c r="E96" s="6" t="s">
        <v>602</v>
      </c>
      <c r="F96" s="6" t="s">
        <v>47</v>
      </c>
      <c r="G96" s="6" t="s">
        <v>48</v>
      </c>
      <c r="H96" s="7">
        <v>45561.0</v>
      </c>
      <c r="I96" s="7">
        <v>46265.0</v>
      </c>
      <c r="J96" s="6">
        <v>27.0</v>
      </c>
      <c r="K96" s="6">
        <v>26.0</v>
      </c>
      <c r="L96" s="6">
        <v>2.0</v>
      </c>
      <c r="M96" s="8">
        <v>5729876.0</v>
      </c>
      <c r="N96" s="9">
        <v>0.0</v>
      </c>
      <c r="O96" s="9">
        <v>15000.0</v>
      </c>
      <c r="P96" s="9">
        <v>750000.0</v>
      </c>
      <c r="R96" s="9">
        <v>5265256.0</v>
      </c>
      <c r="S96" s="6" t="s">
        <v>423</v>
      </c>
      <c r="T96" s="6" t="s">
        <v>334</v>
      </c>
    </row>
    <row r="97">
      <c r="A97" s="6">
        <v>96.0</v>
      </c>
      <c r="B97" s="6" t="s">
        <v>218</v>
      </c>
      <c r="C97" s="6" t="s">
        <v>41</v>
      </c>
      <c r="D97" s="6" t="s">
        <v>205</v>
      </c>
      <c r="E97" s="6" t="s">
        <v>605</v>
      </c>
      <c r="F97" s="6" t="s">
        <v>47</v>
      </c>
      <c r="G97" s="6" t="s">
        <v>48</v>
      </c>
      <c r="H97" s="7">
        <v>46055.0</v>
      </c>
      <c r="I97" s="7">
        <v>46265.0</v>
      </c>
      <c r="J97" s="6">
        <v>29.0</v>
      </c>
      <c r="K97" s="6">
        <v>26.0</v>
      </c>
      <c r="M97" s="8">
        <v>4737678.0</v>
      </c>
      <c r="N97" s="9">
        <v>0.0</v>
      </c>
      <c r="O97" s="9">
        <v>15000.0</v>
      </c>
      <c r="P97" s="9">
        <v>1640000.0</v>
      </c>
      <c r="R97" s="9">
        <v>3679333.0</v>
      </c>
      <c r="S97" s="6" t="s">
        <v>608</v>
      </c>
    </row>
    <row r="98">
      <c r="A98" s="6">
        <v>97.0</v>
      </c>
      <c r="B98" s="6" t="s">
        <v>221</v>
      </c>
      <c r="C98" s="6" t="s">
        <v>41</v>
      </c>
      <c r="D98" s="6" t="s">
        <v>126</v>
      </c>
      <c r="E98" s="6" t="s">
        <v>609</v>
      </c>
      <c r="F98" s="6" t="s">
        <v>47</v>
      </c>
      <c r="G98" s="6" t="s">
        <v>48</v>
      </c>
      <c r="H98" s="7">
        <v>46074.0</v>
      </c>
      <c r="I98" s="7">
        <v>46265.0</v>
      </c>
      <c r="J98" s="6">
        <v>24.0</v>
      </c>
      <c r="K98" s="6">
        <v>26.0</v>
      </c>
      <c r="M98" s="8">
        <v>3736101.0</v>
      </c>
      <c r="N98" s="9">
        <v>0.0</v>
      </c>
      <c r="O98" s="9">
        <v>15000.0</v>
      </c>
      <c r="P98" s="9">
        <v>1255500.0</v>
      </c>
      <c r="R98" s="9">
        <v>2228209.0</v>
      </c>
      <c r="S98" s="6" t="s">
        <v>610</v>
      </c>
    </row>
    <row r="99">
      <c r="A99" s="6">
        <v>98.0</v>
      </c>
      <c r="B99" s="6" t="s">
        <v>229</v>
      </c>
      <c r="C99" s="6" t="s">
        <v>611</v>
      </c>
      <c r="D99" s="6" t="s">
        <v>42</v>
      </c>
      <c r="E99" s="6" t="s">
        <v>614</v>
      </c>
      <c r="F99" s="6" t="s">
        <v>47</v>
      </c>
      <c r="G99" s="6" t="s">
        <v>48</v>
      </c>
      <c r="H99" s="7">
        <v>46079.0</v>
      </c>
      <c r="I99" s="7">
        <v>46265.0</v>
      </c>
      <c r="J99" s="6">
        <v>22.0</v>
      </c>
      <c r="K99" s="6">
        <v>26.0</v>
      </c>
      <c r="M99" s="8">
        <v>5729876.0</v>
      </c>
      <c r="N99" s="9">
        <v>0.0</v>
      </c>
      <c r="O99" s="9">
        <v>15000.0</v>
      </c>
      <c r="R99" s="6" t="e">
        <v>#VALUE!</v>
      </c>
      <c r="S99" s="6" t="s">
        <v>617</v>
      </c>
    </row>
    <row r="100">
      <c r="A100" s="6">
        <v>99.0</v>
      </c>
      <c r="B100" s="6" t="s">
        <v>231</v>
      </c>
      <c r="C100" s="6" t="s">
        <v>41</v>
      </c>
      <c r="D100" s="6" t="s">
        <v>78</v>
      </c>
      <c r="E100" s="6" t="s">
        <v>619</v>
      </c>
      <c r="F100" s="6" t="s">
        <v>47</v>
      </c>
      <c r="G100" s="6" t="s">
        <v>48</v>
      </c>
      <c r="H100" s="7">
        <v>46083.0</v>
      </c>
      <c r="I100" s="7">
        <v>46265.0</v>
      </c>
      <c r="J100" s="6">
        <v>31.0</v>
      </c>
      <c r="K100" s="6">
        <v>26.0</v>
      </c>
      <c r="M100" s="8">
        <v>3736000.0</v>
      </c>
      <c r="N100" s="9">
        <v>0.0</v>
      </c>
      <c r="O100" s="9">
        <v>15000.0</v>
      </c>
      <c r="R100" s="6" t="e">
        <v>#VALUE!</v>
      </c>
      <c r="S100" s="6" t="s">
        <v>620</v>
      </c>
    </row>
    <row r="101">
      <c r="A101" s="6">
        <v>100.0</v>
      </c>
      <c r="B101" s="6" t="s">
        <v>233</v>
      </c>
      <c r="C101" s="6" t="s">
        <v>41</v>
      </c>
      <c r="D101" s="6" t="s">
        <v>126</v>
      </c>
      <c r="E101" s="6" t="s">
        <v>621</v>
      </c>
      <c r="F101" s="6" t="s">
        <v>47</v>
      </c>
      <c r="G101" s="6" t="s">
        <v>48</v>
      </c>
      <c r="H101" s="7">
        <v>46084.0</v>
      </c>
      <c r="I101" s="7">
        <v>46265.0</v>
      </c>
      <c r="J101" s="6">
        <v>22.0</v>
      </c>
      <c r="K101" s="6">
        <v>26.0</v>
      </c>
      <c r="M101" s="8">
        <v>3499878.0</v>
      </c>
      <c r="N101" s="9">
        <v>0.0</v>
      </c>
      <c r="O101" s="9">
        <v>15000.0</v>
      </c>
      <c r="R101" s="6" t="e">
        <v>#VALUE!</v>
      </c>
      <c r="S101" s="6" t="s">
        <v>624</v>
      </c>
    </row>
    <row r="102">
      <c r="A102" s="6">
        <v>101.0</v>
      </c>
      <c r="B102" s="6" t="s">
        <v>235</v>
      </c>
      <c r="C102" s="6" t="s">
        <v>41</v>
      </c>
      <c r="D102" s="6" t="s">
        <v>126</v>
      </c>
      <c r="E102" s="6" t="s">
        <v>627</v>
      </c>
      <c r="F102" s="6" t="s">
        <v>47</v>
      </c>
      <c r="G102" s="6" t="s">
        <v>48</v>
      </c>
      <c r="H102" s="7">
        <v>46084.0</v>
      </c>
      <c r="I102" s="7">
        <v>46265.0</v>
      </c>
      <c r="J102" s="6">
        <v>27.0</v>
      </c>
      <c r="K102" s="6">
        <v>26.0</v>
      </c>
      <c r="M102" s="8">
        <v>5288796.0</v>
      </c>
      <c r="N102" s="9">
        <v>0.0</v>
      </c>
      <c r="O102" s="9">
        <v>15000.0</v>
      </c>
      <c r="R102" s="6" t="e">
        <v>#VALUE!</v>
      </c>
      <c r="S102" s="6" t="s">
        <v>134</v>
      </c>
    </row>
    <row r="103">
      <c r="A103" s="6">
        <v>102.0</v>
      </c>
      <c r="B103" s="6" t="s">
        <v>238</v>
      </c>
      <c r="C103" s="6" t="s">
        <v>41</v>
      </c>
      <c r="D103" s="6" t="s">
        <v>42</v>
      </c>
      <c r="E103" s="6" t="s">
        <v>631</v>
      </c>
      <c r="F103" s="6" t="s">
        <v>47</v>
      </c>
      <c r="G103" s="6" t="s">
        <v>48</v>
      </c>
      <c r="H103" s="7">
        <v>46085.0</v>
      </c>
      <c r="I103" s="7">
        <v>46265.0</v>
      </c>
      <c r="J103" s="6">
        <v>26.0</v>
      </c>
      <c r="K103" s="6">
        <v>26.0</v>
      </c>
      <c r="M103" s="8">
        <v>5729876.0</v>
      </c>
      <c r="N103" s="9">
        <v>0.0</v>
      </c>
      <c r="O103" s="9">
        <v>15000.0</v>
      </c>
      <c r="P103" s="9">
        <v>1735500.0</v>
      </c>
      <c r="R103" s="9">
        <v>4029376.0</v>
      </c>
      <c r="S103" s="6" t="s">
        <v>633</v>
      </c>
    </row>
    <row r="104">
      <c r="A104" s="6">
        <v>103.0</v>
      </c>
      <c r="B104" s="6" t="s">
        <v>242</v>
      </c>
      <c r="C104" s="6" t="s">
        <v>41</v>
      </c>
      <c r="D104" s="6" t="s">
        <v>507</v>
      </c>
      <c r="E104" s="6" t="s">
        <v>634</v>
      </c>
      <c r="F104" s="6" t="s">
        <v>47</v>
      </c>
      <c r="G104" s="6" t="s">
        <v>48</v>
      </c>
      <c r="H104" s="7">
        <v>46119.0</v>
      </c>
      <c r="I104" s="7">
        <v>46265.0</v>
      </c>
      <c r="J104" s="6">
        <v>20.0</v>
      </c>
      <c r="K104" s="6">
        <v>26.0</v>
      </c>
      <c r="M104" s="8">
        <v>3247387.0</v>
      </c>
      <c r="N104" s="9">
        <v>0.0</v>
      </c>
      <c r="O104" s="9">
        <v>15000.0</v>
      </c>
      <c r="R104" s="6" t="e">
        <v>#VALUE!</v>
      </c>
      <c r="S104" s="6" t="s">
        <v>636</v>
      </c>
    </row>
    <row r="105">
      <c r="A105" s="6">
        <v>104.0</v>
      </c>
      <c r="B105" s="6" t="s">
        <v>243</v>
      </c>
      <c r="C105" s="6" t="s">
        <v>41</v>
      </c>
      <c r="D105" s="6" t="s">
        <v>100</v>
      </c>
      <c r="E105" s="6" t="s">
        <v>638</v>
      </c>
      <c r="F105" s="6" t="s">
        <v>47</v>
      </c>
      <c r="G105" s="6" t="s">
        <v>48</v>
      </c>
      <c r="H105" s="7">
        <v>46128.0</v>
      </c>
      <c r="I105" s="7">
        <v>46265.0</v>
      </c>
      <c r="J105" s="6">
        <v>26.0</v>
      </c>
      <c r="K105" s="6">
        <v>26.0</v>
      </c>
      <c r="M105" s="8">
        <v>4148179.0</v>
      </c>
      <c r="N105" s="9">
        <v>0.0</v>
      </c>
      <c r="O105" s="9">
        <v>15000.0</v>
      </c>
      <c r="P105" s="9">
        <v>450000.0</v>
      </c>
      <c r="R105" s="9">
        <v>3733179.0</v>
      </c>
      <c r="S105" s="6" t="s">
        <v>155</v>
      </c>
    </row>
    <row r="106">
      <c r="A106" s="6">
        <v>105.0</v>
      </c>
      <c r="B106" s="6" t="s">
        <v>245</v>
      </c>
      <c r="C106" s="6" t="s">
        <v>41</v>
      </c>
      <c r="D106" s="6" t="s">
        <v>214</v>
      </c>
      <c r="E106" s="6" t="s">
        <v>641</v>
      </c>
      <c r="F106" s="6" t="s">
        <v>47</v>
      </c>
      <c r="G106" s="6" t="s">
        <v>48</v>
      </c>
      <c r="H106" s="7">
        <v>46141.0</v>
      </c>
      <c r="I106" s="7">
        <v>46265.0</v>
      </c>
      <c r="J106" s="6">
        <v>29.0</v>
      </c>
      <c r="K106" s="6">
        <v>26.0</v>
      </c>
      <c r="M106" s="8">
        <v>2397000.0</v>
      </c>
      <c r="N106" s="9">
        <v>0.0</v>
      </c>
      <c r="O106" s="9">
        <v>15000.0</v>
      </c>
      <c r="R106" s="6" t="e">
        <v>#VALUE!</v>
      </c>
      <c r="S106" s="6" t="s">
        <v>642</v>
      </c>
    </row>
    <row r="107">
      <c r="A107" s="6">
        <v>106.0</v>
      </c>
      <c r="B107" s="6" t="s">
        <v>247</v>
      </c>
      <c r="C107" s="6" t="s">
        <v>41</v>
      </c>
      <c r="D107" s="6" t="s">
        <v>214</v>
      </c>
      <c r="E107" s="6" t="s">
        <v>643</v>
      </c>
      <c r="F107" s="6" t="s">
        <v>47</v>
      </c>
      <c r="G107" s="6" t="s">
        <v>48</v>
      </c>
      <c r="H107" s="7">
        <v>46146.0</v>
      </c>
      <c r="I107" s="7">
        <v>46265.0</v>
      </c>
      <c r="J107" s="6">
        <v>27.0</v>
      </c>
      <c r="K107" s="6">
        <v>26.0</v>
      </c>
      <c r="M107" s="8">
        <v>3701709.0</v>
      </c>
      <c r="N107" s="9">
        <v>0.0</v>
      </c>
      <c r="O107" s="9">
        <v>15000.0</v>
      </c>
      <c r="R107" s="6" t="e">
        <v>#VALUE!</v>
      </c>
      <c r="S107" s="6" t="s">
        <v>253</v>
      </c>
    </row>
    <row r="108">
      <c r="A108" s="6">
        <v>107.0</v>
      </c>
      <c r="B108" s="6" t="s">
        <v>250</v>
      </c>
      <c r="C108" s="6" t="s">
        <v>41</v>
      </c>
      <c r="D108" s="6" t="s">
        <v>214</v>
      </c>
      <c r="E108" s="6" t="s">
        <v>644</v>
      </c>
      <c r="F108" s="6" t="s">
        <v>47</v>
      </c>
      <c r="G108" s="6" t="s">
        <v>48</v>
      </c>
      <c r="H108" s="7">
        <v>46141.0</v>
      </c>
      <c r="I108" s="7">
        <v>46265.0</v>
      </c>
      <c r="J108" s="6">
        <v>26.0</v>
      </c>
      <c r="K108" s="6">
        <v>26.0</v>
      </c>
      <c r="M108" s="8">
        <v>2700926.0</v>
      </c>
      <c r="N108" s="9">
        <v>0.0</v>
      </c>
      <c r="O108" s="9">
        <v>15000.0</v>
      </c>
      <c r="P108" s="9">
        <v>750000.0</v>
      </c>
      <c r="R108" s="9">
        <v>1985926.0</v>
      </c>
      <c r="S108" s="6" t="s">
        <v>648</v>
      </c>
    </row>
    <row r="109">
      <c r="A109" s="6">
        <v>108.0</v>
      </c>
      <c r="B109" s="6" t="s">
        <v>251</v>
      </c>
      <c r="C109" s="6" t="s">
        <v>41</v>
      </c>
      <c r="D109" s="6" t="s">
        <v>78</v>
      </c>
      <c r="E109" s="6" t="s">
        <v>651</v>
      </c>
      <c r="F109" s="6" t="s">
        <v>47</v>
      </c>
      <c r="G109" s="6" t="s">
        <v>48</v>
      </c>
      <c r="H109" s="7">
        <v>46153.0</v>
      </c>
      <c r="I109" s="7">
        <v>46265.0</v>
      </c>
      <c r="J109" s="6">
        <v>27.0</v>
      </c>
      <c r="K109" s="6">
        <v>26.0</v>
      </c>
      <c r="M109" s="8">
        <v>3843037.0</v>
      </c>
      <c r="N109" s="9">
        <v>0.0</v>
      </c>
      <c r="O109" s="9">
        <v>15000.0</v>
      </c>
      <c r="R109" s="6" t="e">
        <v>#VALUE!</v>
      </c>
      <c r="S109" s="6" t="s">
        <v>558</v>
      </c>
    </row>
    <row r="110">
      <c r="A110" s="6">
        <v>109.0</v>
      </c>
      <c r="B110" s="6" t="s">
        <v>252</v>
      </c>
      <c r="C110" s="6" t="s">
        <v>41</v>
      </c>
      <c r="D110" s="6" t="s">
        <v>205</v>
      </c>
      <c r="E110" s="6" t="s">
        <v>653</v>
      </c>
      <c r="F110" s="6" t="s">
        <v>47</v>
      </c>
      <c r="G110" s="6" t="s">
        <v>48</v>
      </c>
      <c r="H110" s="7">
        <v>46161.0</v>
      </c>
      <c r="I110" s="7">
        <v>46265.0</v>
      </c>
      <c r="J110" s="6">
        <v>27.0</v>
      </c>
      <c r="K110" s="6">
        <v>26.0</v>
      </c>
      <c r="M110" s="8">
        <v>4737678.0</v>
      </c>
      <c r="N110" s="9">
        <v>0.0</v>
      </c>
      <c r="O110" s="9">
        <v>15000.0</v>
      </c>
      <c r="R110" s="6" t="e">
        <v>#VALUE!</v>
      </c>
      <c r="S110" s="6" t="s">
        <v>591</v>
      </c>
    </row>
    <row r="111">
      <c r="A111" s="6">
        <v>110.0</v>
      </c>
      <c r="B111" s="6" t="s">
        <v>255</v>
      </c>
      <c r="C111" s="6" t="s">
        <v>611</v>
      </c>
      <c r="D111" s="6" t="s">
        <v>42</v>
      </c>
      <c r="E111" s="6" t="s">
        <v>655</v>
      </c>
      <c r="F111" s="6" t="s">
        <v>47</v>
      </c>
      <c r="G111" s="6" t="s">
        <v>48</v>
      </c>
      <c r="H111" s="7">
        <v>46164.0</v>
      </c>
      <c r="I111" s="7">
        <v>46265.0</v>
      </c>
      <c r="J111" s="6">
        <v>26.0</v>
      </c>
      <c r="K111" s="6">
        <v>26.0</v>
      </c>
      <c r="M111" s="8">
        <v>5729876.0</v>
      </c>
      <c r="N111" s="9">
        <v>0.0</v>
      </c>
      <c r="O111" s="9">
        <v>15000.0</v>
      </c>
      <c r="R111" s="6" t="e">
        <v>#VALUE!</v>
      </c>
      <c r="S111" s="6" t="s">
        <v>633</v>
      </c>
    </row>
    <row r="112">
      <c r="A112" s="6">
        <v>111.0</v>
      </c>
      <c r="B112" s="6" t="s">
        <v>258</v>
      </c>
      <c r="C112" s="6" t="s">
        <v>41</v>
      </c>
      <c r="D112" s="6" t="s">
        <v>659</v>
      </c>
      <c r="E112" s="6" t="s">
        <v>660</v>
      </c>
      <c r="F112" s="6" t="s">
        <v>47</v>
      </c>
      <c r="G112" s="6" t="s">
        <v>48</v>
      </c>
      <c r="H112" s="7">
        <v>46174.0</v>
      </c>
      <c r="I112" s="7">
        <v>46265.0</v>
      </c>
      <c r="J112" s="6">
        <v>26.0</v>
      </c>
      <c r="K112" s="6">
        <v>26.0</v>
      </c>
      <c r="M112" s="8">
        <v>3050498.0</v>
      </c>
      <c r="N112" s="9">
        <v>0.0</v>
      </c>
      <c r="O112" s="9">
        <v>15000.0</v>
      </c>
      <c r="R112" s="6" t="e">
        <v>#VALUE!</v>
      </c>
      <c r="S112" s="6" t="s">
        <v>663</v>
      </c>
    </row>
    <row r="113">
      <c r="A113" s="6">
        <v>112.0</v>
      </c>
      <c r="B113" s="6" t="s">
        <v>263</v>
      </c>
      <c r="C113" s="6" t="s">
        <v>41</v>
      </c>
      <c r="D113" s="6" t="s">
        <v>126</v>
      </c>
      <c r="E113" s="6" t="s">
        <v>664</v>
      </c>
      <c r="F113" s="6" t="s">
        <v>47</v>
      </c>
      <c r="G113" s="6" t="s">
        <v>48</v>
      </c>
      <c r="H113" s="7">
        <v>46177.0</v>
      </c>
      <c r="I113" s="7">
        <v>46265.0</v>
      </c>
      <c r="J113" s="6">
        <v>23.0</v>
      </c>
      <c r="K113" s="6">
        <v>26.0</v>
      </c>
      <c r="M113" s="8">
        <v>3012197.0</v>
      </c>
      <c r="N113" s="9">
        <v>0.0</v>
      </c>
      <c r="O113" s="9">
        <v>15000.0</v>
      </c>
      <c r="P113" s="9">
        <v>750000.0</v>
      </c>
      <c r="R113" s="9">
        <v>1949636.0</v>
      </c>
      <c r="S113" s="6" t="s">
        <v>665</v>
      </c>
    </row>
    <row r="114">
      <c r="A114" s="6">
        <v>113.0</v>
      </c>
      <c r="B114" s="6" t="s">
        <v>268</v>
      </c>
      <c r="C114" s="6" t="s">
        <v>41</v>
      </c>
      <c r="D114" s="6" t="s">
        <v>214</v>
      </c>
      <c r="E114" s="6" t="s">
        <v>666</v>
      </c>
      <c r="F114" s="6" t="s">
        <v>47</v>
      </c>
      <c r="G114" s="6" t="s">
        <v>48</v>
      </c>
      <c r="H114" s="7">
        <v>46195.0</v>
      </c>
      <c r="I114" s="7">
        <v>46265.0</v>
      </c>
      <c r="J114" s="6">
        <v>27.0</v>
      </c>
      <c r="K114" s="6">
        <v>26.0</v>
      </c>
      <c r="M114" s="8">
        <v>2485000.0</v>
      </c>
      <c r="N114" s="9">
        <v>0.0</v>
      </c>
      <c r="O114" s="9">
        <v>15000.0</v>
      </c>
      <c r="R114" s="6" t="e">
        <v>#VALUE!</v>
      </c>
      <c r="S114" s="6" t="s">
        <v>670</v>
      </c>
    </row>
    <row r="115">
      <c r="A115" s="6">
        <v>114.0</v>
      </c>
      <c r="B115" s="6" t="s">
        <v>270</v>
      </c>
      <c r="C115" s="6" t="s">
        <v>41</v>
      </c>
      <c r="D115" s="6" t="s">
        <v>100</v>
      </c>
      <c r="E115" s="6" t="s">
        <v>568</v>
      </c>
      <c r="F115" s="6" t="s">
        <v>47</v>
      </c>
      <c r="G115" s="6" t="s">
        <v>48</v>
      </c>
      <c r="H115" s="7">
        <v>46198.0</v>
      </c>
      <c r="I115" s="7">
        <v>46265.0</v>
      </c>
      <c r="J115" s="6">
        <v>26.0</v>
      </c>
      <c r="K115" s="6">
        <v>26.0</v>
      </c>
      <c r="M115" s="8">
        <v>4148179.0</v>
      </c>
      <c r="N115" s="9">
        <v>0.0</v>
      </c>
      <c r="O115" s="9">
        <v>15000.0</v>
      </c>
      <c r="R115" s="6" t="e">
        <v>#VALUE!</v>
      </c>
      <c r="S115" s="6" t="s">
        <v>155</v>
      </c>
    </row>
    <row r="116">
      <c r="A116" s="6">
        <v>115.0</v>
      </c>
      <c r="B116" s="6" t="s">
        <v>272</v>
      </c>
      <c r="C116" s="6" t="s">
        <v>41</v>
      </c>
      <c r="D116" s="6" t="s">
        <v>115</v>
      </c>
      <c r="E116" s="6" t="s">
        <v>673</v>
      </c>
      <c r="F116" s="6" t="s">
        <v>47</v>
      </c>
      <c r="G116" s="6" t="s">
        <v>48</v>
      </c>
      <c r="H116" s="7">
        <v>46202.0</v>
      </c>
      <c r="I116" s="7">
        <v>46265.0</v>
      </c>
      <c r="J116" s="6">
        <v>28.0</v>
      </c>
      <c r="K116" s="6">
        <v>26.0</v>
      </c>
      <c r="M116" s="8">
        <v>3856694.0</v>
      </c>
      <c r="N116" s="9">
        <v>0.0</v>
      </c>
      <c r="O116" s="9">
        <v>15000.0</v>
      </c>
      <c r="R116" s="6" t="e">
        <v>#VALUE!</v>
      </c>
      <c r="S116" s="6" t="s">
        <v>675</v>
      </c>
    </row>
    <row r="117">
      <c r="A117" s="6">
        <v>116.0</v>
      </c>
      <c r="B117" s="6" t="s">
        <v>273</v>
      </c>
      <c r="C117" s="6" t="s">
        <v>41</v>
      </c>
      <c r="D117" s="6" t="s">
        <v>214</v>
      </c>
      <c r="E117" s="6" t="s">
        <v>676</v>
      </c>
      <c r="F117" s="6" t="s">
        <v>47</v>
      </c>
      <c r="G117" s="6" t="s">
        <v>48</v>
      </c>
      <c r="H117" s="7">
        <v>46224.0</v>
      </c>
      <c r="I117" s="7">
        <v>46265.0</v>
      </c>
      <c r="J117" s="6">
        <v>28.0</v>
      </c>
      <c r="K117" s="6">
        <v>26.0</v>
      </c>
      <c r="M117" s="8">
        <v>3454827.0</v>
      </c>
      <c r="N117" s="9">
        <v>0.0</v>
      </c>
      <c r="O117" s="9">
        <v>15000.0</v>
      </c>
      <c r="P117" s="9">
        <v>100000.0</v>
      </c>
      <c r="R117" s="9">
        <v>3655583.0</v>
      </c>
      <c r="S117" s="6" t="s">
        <v>677</v>
      </c>
    </row>
    <row r="118">
      <c r="A118" s="6">
        <v>117.0</v>
      </c>
      <c r="B118" s="6" t="s">
        <v>275</v>
      </c>
      <c r="C118" s="6" t="s">
        <v>41</v>
      </c>
      <c r="D118" s="6" t="s">
        <v>126</v>
      </c>
      <c r="E118" s="6" t="s">
        <v>127</v>
      </c>
      <c r="F118" s="6" t="s">
        <v>47</v>
      </c>
      <c r="G118" s="6" t="s">
        <v>48</v>
      </c>
      <c r="H118" s="7">
        <v>46240.0</v>
      </c>
      <c r="I118" s="7">
        <v>46265.0</v>
      </c>
      <c r="J118" s="6">
        <v>16.0</v>
      </c>
      <c r="K118" s="6">
        <v>26.0</v>
      </c>
      <c r="M118" s="8">
        <v>3736101.0</v>
      </c>
      <c r="N118" s="9">
        <v>0.0</v>
      </c>
      <c r="O118" s="9">
        <v>15000.0</v>
      </c>
      <c r="P118" s="9">
        <v>750000.0</v>
      </c>
      <c r="R118" s="9">
        <v>1584139.0</v>
      </c>
      <c r="S118" s="6" t="s">
        <v>679</v>
      </c>
    </row>
    <row r="119">
      <c r="A119" s="6">
        <v>118.0</v>
      </c>
      <c r="B119" s="6" t="s">
        <v>280</v>
      </c>
      <c r="C119" s="6" t="s">
        <v>41</v>
      </c>
      <c r="D119" s="6" t="s">
        <v>100</v>
      </c>
      <c r="E119" s="6" t="s">
        <v>682</v>
      </c>
      <c r="F119" s="6" t="s">
        <v>47</v>
      </c>
      <c r="G119" s="6" t="s">
        <v>48</v>
      </c>
      <c r="H119" s="7">
        <v>46240.0</v>
      </c>
      <c r="I119" s="7">
        <v>46265.0</v>
      </c>
      <c r="J119" s="6">
        <v>14.0</v>
      </c>
      <c r="K119" s="6">
        <v>26.0</v>
      </c>
      <c r="M119" s="8">
        <v>4148179.0</v>
      </c>
      <c r="N119" s="9">
        <v>0.0</v>
      </c>
      <c r="O119" s="9">
        <v>15000.0</v>
      </c>
      <c r="R119" s="6" t="e">
        <v>#VALUE!</v>
      </c>
      <c r="S119" s="6" t="s">
        <v>684</v>
      </c>
    </row>
    <row r="120">
      <c r="A120" s="6">
        <v>119.0</v>
      </c>
      <c r="B120" s="6" t="s">
        <v>281</v>
      </c>
      <c r="C120" s="6" t="s">
        <v>41</v>
      </c>
      <c r="D120" s="6" t="s">
        <v>100</v>
      </c>
      <c r="E120" s="6" t="s">
        <v>685</v>
      </c>
      <c r="F120" s="6" t="s">
        <v>47</v>
      </c>
      <c r="G120" s="6" t="s">
        <v>48</v>
      </c>
      <c r="H120" s="7">
        <v>46242.0</v>
      </c>
      <c r="I120" s="7">
        <v>46265.0</v>
      </c>
      <c r="J120" s="6">
        <v>13.0</v>
      </c>
      <c r="K120" s="6">
        <v>26.0</v>
      </c>
      <c r="M120" s="8">
        <v>4148179.0</v>
      </c>
      <c r="N120" s="9">
        <v>0.0</v>
      </c>
      <c r="O120" s="9">
        <v>15000.0</v>
      </c>
      <c r="R120" s="6" t="e">
        <v>#VALUE!</v>
      </c>
      <c r="S120" s="6" t="s">
        <v>686</v>
      </c>
    </row>
    <row r="121">
      <c r="A121" s="6">
        <v>120.0</v>
      </c>
      <c r="B121" s="12" t="s">
        <v>687</v>
      </c>
      <c r="C121" s="6" t="s">
        <v>41</v>
      </c>
      <c r="D121" s="6" t="s">
        <v>115</v>
      </c>
      <c r="E121" s="6" t="s">
        <v>688</v>
      </c>
      <c r="F121" s="6" t="s">
        <v>47</v>
      </c>
      <c r="G121" s="6" t="s">
        <v>48</v>
      </c>
      <c r="H121" s="7">
        <v>46247.0</v>
      </c>
      <c r="I121" s="7">
        <v>46265.0</v>
      </c>
      <c r="J121" s="6">
        <v>12.0</v>
      </c>
      <c r="K121" s="6">
        <v>26.0</v>
      </c>
      <c r="M121" s="8">
        <v>3856694.0</v>
      </c>
      <c r="N121" s="9">
        <v>0.0</v>
      </c>
      <c r="O121" s="9">
        <v>15000.0</v>
      </c>
      <c r="R121" s="6" t="e">
        <v>#VALUE!</v>
      </c>
      <c r="S121" s="6" t="s">
        <v>692</v>
      </c>
    </row>
    <row r="122">
      <c r="A122" s="6">
        <v>121.0</v>
      </c>
      <c r="B122" s="6" t="s">
        <v>286</v>
      </c>
      <c r="C122" s="6" t="s">
        <v>611</v>
      </c>
      <c r="D122" s="6" t="s">
        <v>126</v>
      </c>
      <c r="E122" s="6" t="s">
        <v>694</v>
      </c>
      <c r="F122" s="6" t="s">
        <v>47</v>
      </c>
      <c r="G122" s="6" t="s">
        <v>48</v>
      </c>
      <c r="H122" s="7">
        <v>46258.0</v>
      </c>
      <c r="I122" s="7">
        <v>46265.0</v>
      </c>
      <c r="J122" s="6">
        <v>1.0</v>
      </c>
      <c r="K122" s="6">
        <v>26.0</v>
      </c>
      <c r="M122" s="8">
        <v>3499878.0</v>
      </c>
      <c r="N122" s="9">
        <v>0.0</v>
      </c>
      <c r="O122" s="9">
        <v>15000.0</v>
      </c>
      <c r="R122" s="6" t="e">
        <v>#VALUE!</v>
      </c>
      <c r="S122" s="6" t="s">
        <v>697</v>
      </c>
    </row>
    <row r="123">
      <c r="A123" s="6">
        <v>122.0</v>
      </c>
      <c r="B123" s="6" t="s">
        <v>287</v>
      </c>
      <c r="C123" s="6" t="s">
        <v>41</v>
      </c>
      <c r="D123" s="6" t="s">
        <v>108</v>
      </c>
      <c r="E123" s="6" t="s">
        <v>110</v>
      </c>
      <c r="F123" s="6" t="s">
        <v>47</v>
      </c>
      <c r="G123" s="6" t="s">
        <v>48</v>
      </c>
      <c r="H123" s="7">
        <v>46256.0</v>
      </c>
      <c r="I123" s="7">
        <v>46265.0</v>
      </c>
      <c r="J123" s="6">
        <v>3.0</v>
      </c>
      <c r="K123" s="6">
        <v>26.0</v>
      </c>
      <c r="M123" s="8">
        <v>4192837.0</v>
      </c>
      <c r="N123" s="9">
        <v>0.0</v>
      </c>
      <c r="O123" s="9">
        <v>15000.0</v>
      </c>
      <c r="R123" s="6" t="e">
        <v>#VALUE!</v>
      </c>
      <c r="S123" s="6" t="s">
        <v>698</v>
      </c>
    </row>
    <row r="124">
      <c r="A124" s="6">
        <v>123.0</v>
      </c>
      <c r="B124" s="6" t="s">
        <v>699</v>
      </c>
      <c r="C124" s="6" t="s">
        <v>41</v>
      </c>
      <c r="D124" s="6" t="s">
        <v>100</v>
      </c>
      <c r="E124" s="6" t="s">
        <v>685</v>
      </c>
      <c r="F124" s="6" t="s">
        <v>47</v>
      </c>
      <c r="G124" s="6" t="s">
        <v>48</v>
      </c>
      <c r="H124" s="7">
        <v>44446.0</v>
      </c>
      <c r="I124" s="7">
        <v>46234.0</v>
      </c>
      <c r="J124" s="6">
        <v>5.0</v>
      </c>
      <c r="K124" s="6">
        <v>26.0</v>
      </c>
      <c r="M124" s="8">
        <v>4148179.0</v>
      </c>
      <c r="N124" s="9">
        <v>0.0</v>
      </c>
      <c r="O124" s="9">
        <v>15000.0</v>
      </c>
      <c r="R124" s="6" t="e">
        <v>#VALUE!</v>
      </c>
      <c r="S124" s="6" t="s">
        <v>701</v>
      </c>
    </row>
    <row r="125">
      <c r="A125" s="6">
        <v>124.0</v>
      </c>
      <c r="B125" s="6" t="s">
        <v>703</v>
      </c>
      <c r="C125" s="6" t="s">
        <v>41</v>
      </c>
      <c r="D125" s="6" t="s">
        <v>78</v>
      </c>
      <c r="E125" s="6" t="s">
        <v>556</v>
      </c>
      <c r="F125" s="6" t="s">
        <v>47</v>
      </c>
      <c r="G125" s="6" t="s">
        <v>48</v>
      </c>
      <c r="H125" s="7">
        <v>45324.0</v>
      </c>
      <c r="I125" s="7">
        <v>46233.0</v>
      </c>
      <c r="J125" s="6">
        <v>5.0</v>
      </c>
      <c r="K125" s="6">
        <v>26.0</v>
      </c>
      <c r="M125" s="8">
        <v>3843037.0</v>
      </c>
      <c r="N125" s="9">
        <v>0.0</v>
      </c>
      <c r="O125" s="9">
        <v>15000.0</v>
      </c>
      <c r="R125" s="6" t="e">
        <v>#VALUE!</v>
      </c>
      <c r="S125" s="6" t="s">
        <v>708</v>
      </c>
    </row>
    <row r="126">
      <c r="A126" s="6">
        <v>125.0</v>
      </c>
      <c r="B126" s="6" t="s">
        <v>709</v>
      </c>
      <c r="C126" s="6" t="s">
        <v>41</v>
      </c>
      <c r="D126" s="6" t="s">
        <v>126</v>
      </c>
      <c r="E126" s="6" t="s">
        <v>710</v>
      </c>
      <c r="F126" s="6" t="s">
        <v>47</v>
      </c>
      <c r="G126" s="6" t="s">
        <v>48</v>
      </c>
      <c r="H126" s="7">
        <v>45819.0</v>
      </c>
      <c r="I126" s="7">
        <v>46234.0</v>
      </c>
      <c r="J126" s="6">
        <v>6.0</v>
      </c>
      <c r="K126" s="6">
        <v>26.0</v>
      </c>
      <c r="M126" s="8">
        <v>3499878.0</v>
      </c>
      <c r="N126" s="9">
        <v>0.0</v>
      </c>
      <c r="O126" s="9">
        <v>15000.0</v>
      </c>
      <c r="R126" s="6" t="e">
        <v>#VALUE!</v>
      </c>
      <c r="S126" s="6" t="s">
        <v>711</v>
      </c>
    </row>
    <row r="127">
      <c r="A127" s="6">
        <v>126.0</v>
      </c>
      <c r="B127" s="6" t="s">
        <v>712</v>
      </c>
      <c r="C127" s="6" t="s">
        <v>41</v>
      </c>
      <c r="D127" s="6" t="s">
        <v>205</v>
      </c>
      <c r="E127" s="6" t="s">
        <v>714</v>
      </c>
      <c r="F127" s="6" t="s">
        <v>47</v>
      </c>
      <c r="G127" s="6" t="s">
        <v>48</v>
      </c>
      <c r="H127" s="7">
        <v>45969.0</v>
      </c>
      <c r="I127" s="7">
        <v>46234.0</v>
      </c>
      <c r="J127" s="6">
        <v>5.0</v>
      </c>
      <c r="K127" s="6">
        <v>26.0</v>
      </c>
      <c r="M127" s="8">
        <v>4737678.0</v>
      </c>
      <c r="N127" s="9">
        <v>0.0</v>
      </c>
      <c r="O127" s="9">
        <v>15000.0</v>
      </c>
      <c r="R127" s="6" t="e">
        <v>#VALUE!</v>
      </c>
      <c r="S127" s="6" t="s">
        <v>715</v>
      </c>
    </row>
    <row r="128">
      <c r="A128" s="6">
        <v>127.0</v>
      </c>
      <c r="B128" s="6" t="s">
        <v>717</v>
      </c>
      <c r="C128" s="6" t="s">
        <v>41</v>
      </c>
      <c r="D128" s="6" t="s">
        <v>108</v>
      </c>
      <c r="E128" s="6" t="s">
        <v>719</v>
      </c>
      <c r="F128" s="6" t="s">
        <v>47</v>
      </c>
      <c r="G128" s="6" t="s">
        <v>48</v>
      </c>
      <c r="H128" s="7">
        <v>46083.0</v>
      </c>
      <c r="I128" s="7">
        <v>46234.0</v>
      </c>
      <c r="J128" s="6">
        <v>6.0</v>
      </c>
      <c r="K128" s="6">
        <v>26.0</v>
      </c>
      <c r="M128" s="8">
        <v>4035000.0</v>
      </c>
      <c r="N128" s="9">
        <v>0.0</v>
      </c>
      <c r="O128" s="9">
        <v>15000.0</v>
      </c>
      <c r="R128" s="6" t="e">
        <v>#VALUE!</v>
      </c>
      <c r="S128" s="6" t="s">
        <v>722</v>
      </c>
    </row>
    <row r="129">
      <c r="A129" s="6">
        <v>128.0</v>
      </c>
      <c r="B129" s="6" t="s">
        <v>724</v>
      </c>
      <c r="C129" s="6" t="s">
        <v>41</v>
      </c>
      <c r="D129" s="6" t="s">
        <v>214</v>
      </c>
      <c r="E129" s="6" t="s">
        <v>725</v>
      </c>
      <c r="F129" s="6" t="s">
        <v>47</v>
      </c>
      <c r="G129" s="6" t="s">
        <v>48</v>
      </c>
      <c r="H129" s="7">
        <v>46111.0</v>
      </c>
      <c r="I129" s="7">
        <v>46234.0</v>
      </c>
      <c r="J129" s="6">
        <v>5.0</v>
      </c>
      <c r="K129" s="6">
        <v>26.0</v>
      </c>
      <c r="M129" s="8">
        <v>2500000.0</v>
      </c>
      <c r="N129" s="9">
        <v>0.0</v>
      </c>
      <c r="O129" s="9">
        <v>15000.0</v>
      </c>
      <c r="R129" s="6" t="e">
        <v>#VALUE!</v>
      </c>
      <c r="S129" s="6" t="s">
        <v>727</v>
      </c>
    </row>
    <row r="130">
      <c r="A130" s="6">
        <v>129.0</v>
      </c>
      <c r="B130" s="6" t="s">
        <v>728</v>
      </c>
      <c r="C130" s="6" t="s">
        <v>41</v>
      </c>
      <c r="D130" s="6" t="s">
        <v>729</v>
      </c>
      <c r="E130" s="6" t="s">
        <v>730</v>
      </c>
      <c r="F130" s="6" t="s">
        <v>47</v>
      </c>
      <c r="G130" s="6" t="s">
        <v>48</v>
      </c>
      <c r="H130" s="7">
        <v>46148.0</v>
      </c>
      <c r="I130" s="7">
        <v>46237.0</v>
      </c>
      <c r="J130" s="6">
        <v>8.0</v>
      </c>
      <c r="K130" s="6">
        <v>26.0</v>
      </c>
      <c r="M130" s="8">
        <v>2624387.0</v>
      </c>
      <c r="N130" s="9">
        <v>0.0</v>
      </c>
      <c r="O130" s="9">
        <v>15000.0</v>
      </c>
      <c r="P130" s="9">
        <v>677000.0</v>
      </c>
      <c r="R130" s="9">
        <v>165504.0</v>
      </c>
      <c r="S130" s="6" t="s">
        <v>734</v>
      </c>
    </row>
    <row r="131">
      <c r="A131" s="6">
        <v>130.0</v>
      </c>
      <c r="B131" s="6" t="s">
        <v>735</v>
      </c>
      <c r="C131" s="6" t="s">
        <v>41</v>
      </c>
      <c r="D131" s="6" t="s">
        <v>115</v>
      </c>
      <c r="E131" s="6" t="s">
        <v>688</v>
      </c>
      <c r="F131" s="6" t="s">
        <v>47</v>
      </c>
      <c r="G131" s="6" t="s">
        <v>48</v>
      </c>
      <c r="H131" s="7">
        <v>46204.0</v>
      </c>
      <c r="I131" s="7">
        <v>46233.0</v>
      </c>
      <c r="J131" s="6">
        <v>2.0</v>
      </c>
      <c r="K131" s="6">
        <v>26.0</v>
      </c>
      <c r="M131" s="8">
        <v>3856694.0</v>
      </c>
      <c r="N131" s="9">
        <v>0.0</v>
      </c>
      <c r="O131" s="9">
        <v>15000.0</v>
      </c>
      <c r="R131" s="6" t="e">
        <v>#VALUE!</v>
      </c>
      <c r="S131" s="6" t="s">
        <v>737</v>
      </c>
    </row>
    <row r="132">
      <c r="A132" s="6">
        <v>131.0</v>
      </c>
      <c r="B132" s="6" t="s">
        <v>738</v>
      </c>
      <c r="C132" s="6" t="s">
        <v>41</v>
      </c>
      <c r="D132" s="6" t="s">
        <v>115</v>
      </c>
      <c r="E132" s="6" t="s">
        <v>739</v>
      </c>
      <c r="F132" s="6" t="s">
        <v>47</v>
      </c>
      <c r="G132" s="6" t="s">
        <v>48</v>
      </c>
      <c r="H132" s="7">
        <v>46212.0</v>
      </c>
      <c r="I132" s="7">
        <v>46234.0</v>
      </c>
      <c r="J132" s="6">
        <v>6.0</v>
      </c>
      <c r="K132" s="6">
        <v>26.0</v>
      </c>
      <c r="M132" s="8">
        <v>3983882.0</v>
      </c>
      <c r="N132" s="9">
        <v>0.0</v>
      </c>
      <c r="O132" s="9">
        <v>15000.0</v>
      </c>
      <c r="R132" s="6" t="e">
        <v>#VALUE!</v>
      </c>
      <c r="S132" s="6" t="s">
        <v>741</v>
      </c>
    </row>
    <row r="133">
      <c r="A133" s="6">
        <v>1.0</v>
      </c>
      <c r="B133" s="12" t="s">
        <v>743</v>
      </c>
      <c r="C133" s="6" t="s">
        <v>704</v>
      </c>
      <c r="D133" s="6" t="s">
        <v>704</v>
      </c>
      <c r="E133" s="6" t="s">
        <v>745</v>
      </c>
      <c r="F133" s="6" t="s">
        <v>47</v>
      </c>
      <c r="G133" s="6" t="s">
        <v>48</v>
      </c>
      <c r="H133" s="7">
        <v>45236.0</v>
      </c>
      <c r="I133" s="7">
        <v>46265.0</v>
      </c>
      <c r="J133" s="6">
        <v>19.0</v>
      </c>
      <c r="K133" s="6">
        <v>20.0</v>
      </c>
      <c r="L133" s="6">
        <v>7.0</v>
      </c>
      <c r="M133" s="8">
        <v>5247870.0</v>
      </c>
      <c r="N133" s="9">
        <v>330000.0</v>
      </c>
      <c r="O133" s="9">
        <v>15000.0</v>
      </c>
      <c r="R133" s="6" t="e">
        <v>#VALUE!</v>
      </c>
      <c r="S133" s="6" t="s">
        <v>749</v>
      </c>
      <c r="T133" s="6" t="s">
        <v>750</v>
      </c>
    </row>
    <row r="134">
      <c r="A134" s="6">
        <v>2.0</v>
      </c>
      <c r="B134" s="6" t="s">
        <v>161</v>
      </c>
      <c r="C134" s="6" t="s">
        <v>704</v>
      </c>
      <c r="D134" s="6" t="s">
        <v>704</v>
      </c>
      <c r="E134" s="6" t="s">
        <v>752</v>
      </c>
      <c r="F134" s="6" t="s">
        <v>47</v>
      </c>
      <c r="G134" s="6" t="s">
        <v>48</v>
      </c>
      <c r="H134" s="7">
        <v>45600.0</v>
      </c>
      <c r="I134" s="7">
        <v>46265.0</v>
      </c>
      <c r="J134" s="6">
        <v>19.0</v>
      </c>
      <c r="K134" s="6">
        <v>20.0</v>
      </c>
      <c r="M134" s="8">
        <v>4192837.0</v>
      </c>
      <c r="N134" s="9">
        <v>330000.0</v>
      </c>
      <c r="O134" s="9">
        <v>15000.0</v>
      </c>
      <c r="R134" s="6" t="e">
        <v>#VALUE!</v>
      </c>
      <c r="S134" s="6" t="s">
        <v>753</v>
      </c>
    </row>
    <row r="135">
      <c r="A135" s="6">
        <v>3.0</v>
      </c>
      <c r="B135" s="6" t="s">
        <v>241</v>
      </c>
      <c r="C135" s="6" t="s">
        <v>704</v>
      </c>
      <c r="D135" s="6" t="s">
        <v>704</v>
      </c>
      <c r="E135" s="6" t="s">
        <v>754</v>
      </c>
      <c r="F135" s="6" t="s">
        <v>47</v>
      </c>
      <c r="G135" s="6" t="s">
        <v>48</v>
      </c>
      <c r="H135" s="7">
        <v>46083.0</v>
      </c>
      <c r="I135" s="7">
        <v>46265.0</v>
      </c>
      <c r="J135" s="6">
        <v>19.0</v>
      </c>
      <c r="K135" s="6">
        <v>20.0</v>
      </c>
      <c r="L135" s="6">
        <v>11.0</v>
      </c>
      <c r="M135" s="8">
        <v>5288796.0</v>
      </c>
      <c r="N135" s="9">
        <v>330000.0</v>
      </c>
      <c r="O135" s="9">
        <v>15000.0</v>
      </c>
      <c r="P135" s="9">
        <v>750000.0</v>
      </c>
      <c r="R135" s="9">
        <v>5344356.0</v>
      </c>
      <c r="S135" s="6" t="s">
        <v>757</v>
      </c>
      <c r="T135" s="6" t="s">
        <v>759</v>
      </c>
    </row>
    <row r="136">
      <c r="A136" s="6">
        <v>4.0</v>
      </c>
      <c r="B136" s="12" t="s">
        <v>261</v>
      </c>
      <c r="C136" s="6" t="s">
        <v>704</v>
      </c>
      <c r="D136" s="6" t="s">
        <v>704</v>
      </c>
      <c r="E136" s="6" t="s">
        <v>761</v>
      </c>
      <c r="F136" s="6" t="s">
        <v>47</v>
      </c>
      <c r="G136" s="6" t="s">
        <v>48</v>
      </c>
      <c r="H136" s="7">
        <v>46174.0</v>
      </c>
      <c r="I136" s="7">
        <v>46265.0</v>
      </c>
      <c r="J136" s="6">
        <v>20.0</v>
      </c>
      <c r="K136" s="6">
        <v>20.0</v>
      </c>
      <c r="M136" s="8">
        <v>5202238.0</v>
      </c>
      <c r="N136" s="9">
        <v>150000.0</v>
      </c>
      <c r="O136" s="9">
        <v>15000.0</v>
      </c>
      <c r="P136" s="9">
        <v>640000.0</v>
      </c>
      <c r="R136" s="9">
        <v>4747238.0</v>
      </c>
      <c r="S136" s="6" t="s">
        <v>764</v>
      </c>
    </row>
    <row r="137">
      <c r="A137" s="6">
        <v>5.0</v>
      </c>
      <c r="B137" s="6" t="s">
        <v>267</v>
      </c>
      <c r="C137" s="6" t="s">
        <v>704</v>
      </c>
      <c r="D137" s="6" t="s">
        <v>704</v>
      </c>
      <c r="E137" s="6" t="s">
        <v>765</v>
      </c>
      <c r="F137" s="6" t="s">
        <v>47</v>
      </c>
      <c r="G137" s="6" t="s">
        <v>48</v>
      </c>
      <c r="H137" s="7">
        <v>46175.0</v>
      </c>
      <c r="I137" s="7">
        <v>46265.0</v>
      </c>
      <c r="J137" s="6">
        <v>20.0</v>
      </c>
      <c r="K137" s="6">
        <v>20.0</v>
      </c>
      <c r="M137" s="8">
        <v>4977815.0</v>
      </c>
      <c r="N137" s="9">
        <v>150000.0</v>
      </c>
      <c r="O137" s="9">
        <v>15000.0</v>
      </c>
      <c r="R137" s="6" t="e">
        <v>#VALUE!</v>
      </c>
      <c r="S137" s="6" t="s">
        <v>766</v>
      </c>
    </row>
    <row r="138">
      <c r="A138" s="6">
        <v>6.0</v>
      </c>
      <c r="B138" s="6" t="s">
        <v>767</v>
      </c>
      <c r="C138" s="6" t="s">
        <v>704</v>
      </c>
      <c r="D138" s="6" t="s">
        <v>704</v>
      </c>
      <c r="E138" s="6" t="s">
        <v>768</v>
      </c>
      <c r="F138" s="6" t="s">
        <v>47</v>
      </c>
      <c r="G138" s="6" t="s">
        <v>48</v>
      </c>
      <c r="H138" s="7">
        <v>46202.0</v>
      </c>
      <c r="I138" s="7">
        <v>46244.0</v>
      </c>
      <c r="J138" s="6">
        <v>10.0</v>
      </c>
      <c r="K138" s="6">
        <v>20.0</v>
      </c>
      <c r="M138" s="8">
        <v>4627073.0</v>
      </c>
      <c r="N138" s="9">
        <v>150000.0</v>
      </c>
      <c r="O138" s="9">
        <v>15000.0</v>
      </c>
      <c r="P138" s="9">
        <v>750000.0</v>
      </c>
      <c r="R138" s="9">
        <v>1748537.0</v>
      </c>
      <c r="S138" s="6" t="s">
        <v>773</v>
      </c>
    </row>
    <row r="139">
      <c r="A139" s="6">
        <v>7.0</v>
      </c>
      <c r="B139" s="6" t="s">
        <v>193</v>
      </c>
      <c r="C139" s="6" t="s">
        <v>775</v>
      </c>
      <c r="D139" s="6" t="s">
        <v>777</v>
      </c>
      <c r="E139" s="6" t="s">
        <v>778</v>
      </c>
      <c r="F139" s="6" t="s">
        <v>47</v>
      </c>
      <c r="G139" s="6" t="s">
        <v>48</v>
      </c>
      <c r="H139" s="7">
        <v>46027.0</v>
      </c>
      <c r="I139" s="7">
        <v>46265.0</v>
      </c>
      <c r="J139" s="6">
        <v>20.0</v>
      </c>
      <c r="K139" s="6">
        <v>20.0</v>
      </c>
      <c r="M139" s="8">
        <v>4035000.0</v>
      </c>
      <c r="N139" s="9">
        <v>450000.0</v>
      </c>
      <c r="O139" s="9">
        <v>15000.0</v>
      </c>
      <c r="R139" s="6" t="e">
        <v>#VALUE!</v>
      </c>
      <c r="S139" s="6" t="s">
        <v>784</v>
      </c>
    </row>
    <row r="140">
      <c r="M140" s="37"/>
    </row>
    <row r="141">
      <c r="M141" s="37"/>
    </row>
    <row r="142">
      <c r="M142" s="37"/>
    </row>
    <row r="143">
      <c r="M143" s="37"/>
    </row>
    <row r="144">
      <c r="M144" s="37"/>
    </row>
    <row r="145">
      <c r="M145" s="37"/>
    </row>
    <row r="146">
      <c r="M146" s="37"/>
    </row>
    <row r="147">
      <c r="M147" s="37"/>
    </row>
    <row r="148">
      <c r="M148" s="37"/>
    </row>
    <row r="149">
      <c r="M149" s="37"/>
    </row>
    <row r="150">
      <c r="M150" s="37"/>
    </row>
    <row r="151">
      <c r="M151" s="37"/>
    </row>
    <row r="152">
      <c r="M152" s="37"/>
    </row>
    <row r="153">
      <c r="M153" s="37"/>
    </row>
    <row r="154">
      <c r="M154" s="37"/>
    </row>
    <row r="155">
      <c r="M155" s="37"/>
    </row>
    <row r="156">
      <c r="M156" s="37"/>
    </row>
    <row r="157">
      <c r="M157" s="37"/>
    </row>
    <row r="158">
      <c r="M158" s="37"/>
    </row>
    <row r="159">
      <c r="M159" s="37"/>
    </row>
    <row r="160">
      <c r="M160" s="37"/>
    </row>
    <row r="161">
      <c r="M161" s="37"/>
    </row>
    <row r="162">
      <c r="M162" s="37"/>
    </row>
    <row r="163">
      <c r="M163" s="37"/>
    </row>
    <row r="164">
      <c r="M164" s="37"/>
    </row>
    <row r="165">
      <c r="M165" s="37"/>
    </row>
    <row r="166">
      <c r="M166" s="37"/>
    </row>
    <row r="167">
      <c r="M167" s="37"/>
    </row>
    <row r="168">
      <c r="M168" s="37"/>
    </row>
    <row r="169">
      <c r="M169" s="37"/>
    </row>
    <row r="170">
      <c r="M170" s="37"/>
    </row>
    <row r="171">
      <c r="M171" s="37"/>
    </row>
    <row r="172">
      <c r="M172" s="37"/>
    </row>
    <row r="173">
      <c r="M173" s="37"/>
    </row>
    <row r="174">
      <c r="M174" s="37"/>
    </row>
    <row r="175">
      <c r="M175" s="37"/>
    </row>
    <row r="176">
      <c r="M176" s="37"/>
    </row>
    <row r="177">
      <c r="M177" s="37"/>
    </row>
    <row r="178">
      <c r="M178" s="37"/>
    </row>
    <row r="179">
      <c r="M179" s="37"/>
    </row>
    <row r="180">
      <c r="M180" s="37"/>
    </row>
    <row r="181">
      <c r="M181" s="37"/>
    </row>
    <row r="182">
      <c r="M182" s="37"/>
    </row>
    <row r="183">
      <c r="M183" s="37"/>
    </row>
    <row r="184">
      <c r="M184" s="37"/>
    </row>
    <row r="185">
      <c r="M185" s="37"/>
    </row>
    <row r="186">
      <c r="M186" s="37"/>
    </row>
    <row r="187">
      <c r="M187" s="37"/>
    </row>
    <row r="188">
      <c r="M188" s="37"/>
    </row>
    <row r="189">
      <c r="M189" s="37"/>
    </row>
    <row r="190">
      <c r="M190" s="37"/>
    </row>
    <row r="191">
      <c r="M191" s="37"/>
    </row>
    <row r="192">
      <c r="M192" s="37"/>
    </row>
    <row r="193">
      <c r="M193" s="37"/>
    </row>
    <row r="194">
      <c r="M194" s="37"/>
    </row>
    <row r="195">
      <c r="M195" s="37"/>
    </row>
    <row r="196">
      <c r="M196" s="37"/>
    </row>
    <row r="197">
      <c r="M197" s="37"/>
    </row>
    <row r="198">
      <c r="M198" s="37"/>
    </row>
    <row r="199">
      <c r="M199" s="37"/>
    </row>
    <row r="200">
      <c r="M200" s="37"/>
    </row>
    <row r="201">
      <c r="M201" s="37"/>
    </row>
    <row r="202">
      <c r="M202" s="37"/>
    </row>
    <row r="203">
      <c r="M203" s="37"/>
    </row>
    <row r="204">
      <c r="M204" s="37"/>
    </row>
    <row r="205">
      <c r="M205" s="37"/>
    </row>
    <row r="206">
      <c r="M206" s="37"/>
    </row>
    <row r="207">
      <c r="M207" s="37"/>
    </row>
    <row r="208">
      <c r="M208" s="37"/>
    </row>
    <row r="209">
      <c r="M209" s="37"/>
    </row>
    <row r="210">
      <c r="M210" s="37"/>
    </row>
    <row r="211">
      <c r="M211" s="37"/>
    </row>
    <row r="212">
      <c r="M212" s="37"/>
    </row>
    <row r="213">
      <c r="M213" s="37"/>
    </row>
    <row r="214">
      <c r="M214" s="37"/>
    </row>
    <row r="215">
      <c r="M215" s="37"/>
    </row>
    <row r="216">
      <c r="M216" s="37"/>
    </row>
    <row r="217">
      <c r="M217" s="37"/>
    </row>
    <row r="218">
      <c r="M218" s="37"/>
    </row>
    <row r="219">
      <c r="M219" s="37"/>
    </row>
    <row r="220">
      <c r="M220" s="37"/>
    </row>
    <row r="221">
      <c r="M221" s="37"/>
    </row>
    <row r="222">
      <c r="M222" s="37"/>
    </row>
    <row r="223">
      <c r="M223" s="37"/>
    </row>
    <row r="224">
      <c r="M224" s="37"/>
    </row>
    <row r="225">
      <c r="M225" s="37"/>
    </row>
    <row r="226">
      <c r="M226" s="37"/>
    </row>
    <row r="227">
      <c r="M227" s="37"/>
    </row>
    <row r="228">
      <c r="M228" s="37"/>
    </row>
    <row r="229">
      <c r="M229" s="37"/>
    </row>
    <row r="230">
      <c r="M230" s="37"/>
    </row>
    <row r="231">
      <c r="M231" s="37"/>
    </row>
    <row r="232">
      <c r="M232" s="37"/>
    </row>
    <row r="233">
      <c r="M233" s="37"/>
    </row>
    <row r="234">
      <c r="M234" s="37"/>
    </row>
    <row r="235">
      <c r="M235" s="37"/>
    </row>
    <row r="236">
      <c r="M236" s="37"/>
    </row>
    <row r="237">
      <c r="M237" s="37"/>
    </row>
    <row r="238">
      <c r="M238" s="37"/>
    </row>
    <row r="239">
      <c r="M239" s="37"/>
    </row>
    <row r="240">
      <c r="M240" s="37"/>
    </row>
    <row r="241">
      <c r="M241" s="37"/>
    </row>
    <row r="242">
      <c r="M242" s="37"/>
    </row>
    <row r="243">
      <c r="M243" s="37"/>
    </row>
    <row r="244">
      <c r="M244" s="37"/>
    </row>
    <row r="245">
      <c r="M245" s="37"/>
    </row>
    <row r="246">
      <c r="M246" s="37"/>
    </row>
    <row r="247">
      <c r="M247" s="37"/>
    </row>
    <row r="248">
      <c r="M248" s="37"/>
    </row>
    <row r="249">
      <c r="M249" s="37"/>
    </row>
    <row r="250">
      <c r="M250" s="37"/>
    </row>
    <row r="251">
      <c r="M251" s="37"/>
    </row>
    <row r="252">
      <c r="M252" s="37"/>
    </row>
    <row r="253">
      <c r="M253" s="37"/>
    </row>
    <row r="254">
      <c r="M254" s="37"/>
    </row>
    <row r="255">
      <c r="M255" s="37"/>
    </row>
    <row r="256">
      <c r="M256" s="37"/>
    </row>
    <row r="257">
      <c r="M257" s="37"/>
    </row>
    <row r="258">
      <c r="M258" s="37"/>
    </row>
    <row r="259">
      <c r="M259" s="37"/>
    </row>
    <row r="260">
      <c r="M260" s="37"/>
    </row>
    <row r="261">
      <c r="M261" s="37"/>
    </row>
    <row r="262">
      <c r="M262" s="37"/>
    </row>
    <row r="263">
      <c r="M263" s="37"/>
    </row>
    <row r="264">
      <c r="M264" s="37"/>
    </row>
    <row r="265">
      <c r="M265" s="37"/>
    </row>
    <row r="266">
      <c r="M266" s="37"/>
    </row>
    <row r="267">
      <c r="M267" s="37"/>
    </row>
    <row r="268">
      <c r="M268" s="37"/>
    </row>
    <row r="269">
      <c r="M269" s="37"/>
    </row>
    <row r="270">
      <c r="M270" s="37"/>
    </row>
    <row r="271">
      <c r="M271" s="37"/>
    </row>
    <row r="272">
      <c r="M272" s="37"/>
    </row>
    <row r="273">
      <c r="M273" s="37"/>
    </row>
    <row r="274">
      <c r="M274" s="37"/>
    </row>
    <row r="275">
      <c r="M275" s="37"/>
    </row>
    <row r="276">
      <c r="M276" s="37"/>
    </row>
    <row r="277">
      <c r="M277" s="37"/>
    </row>
    <row r="278">
      <c r="M278" s="37"/>
    </row>
    <row r="279">
      <c r="M279" s="37"/>
    </row>
    <row r="280">
      <c r="M280" s="37"/>
    </row>
    <row r="281">
      <c r="M281" s="37"/>
    </row>
    <row r="282">
      <c r="M282" s="37"/>
    </row>
    <row r="283">
      <c r="M283" s="37"/>
    </row>
    <row r="284">
      <c r="M284" s="37"/>
    </row>
    <row r="285">
      <c r="M285" s="37"/>
    </row>
    <row r="286">
      <c r="M286" s="37"/>
    </row>
    <row r="287">
      <c r="M287" s="37"/>
    </row>
    <row r="288">
      <c r="M288" s="37"/>
    </row>
    <row r="289">
      <c r="M289" s="37"/>
    </row>
    <row r="290">
      <c r="M290" s="37"/>
    </row>
    <row r="291">
      <c r="M291" s="37"/>
    </row>
    <row r="292">
      <c r="M292" s="37"/>
    </row>
    <row r="293">
      <c r="M293" s="37"/>
    </row>
    <row r="294">
      <c r="M294" s="37"/>
    </row>
    <row r="295">
      <c r="M295" s="37"/>
    </row>
    <row r="296">
      <c r="M296" s="37"/>
    </row>
    <row r="297">
      <c r="M297" s="37"/>
    </row>
    <row r="298">
      <c r="M298" s="37"/>
    </row>
    <row r="299">
      <c r="M299" s="37"/>
    </row>
    <row r="300">
      <c r="M300" s="37"/>
    </row>
    <row r="301">
      <c r="M301" s="37"/>
    </row>
    <row r="302">
      <c r="M302" s="37"/>
    </row>
    <row r="303">
      <c r="M303" s="37"/>
    </row>
    <row r="304">
      <c r="M304" s="37"/>
    </row>
    <row r="305">
      <c r="M305" s="37"/>
    </row>
    <row r="306">
      <c r="M306" s="37"/>
    </row>
    <row r="307">
      <c r="M307" s="37"/>
    </row>
    <row r="308">
      <c r="M308" s="37"/>
    </row>
    <row r="309">
      <c r="M309" s="37"/>
    </row>
    <row r="310">
      <c r="M310" s="37"/>
    </row>
    <row r="311">
      <c r="M311" s="37"/>
    </row>
    <row r="312">
      <c r="M312" s="37"/>
    </row>
    <row r="313">
      <c r="M313" s="37"/>
    </row>
    <row r="314">
      <c r="M314" s="37"/>
    </row>
    <row r="315">
      <c r="M315" s="37"/>
    </row>
    <row r="316">
      <c r="M316" s="37"/>
    </row>
    <row r="317">
      <c r="M317" s="37"/>
    </row>
    <row r="318">
      <c r="M318" s="37"/>
    </row>
    <row r="319">
      <c r="M319" s="37"/>
    </row>
    <row r="320">
      <c r="M320" s="37"/>
    </row>
    <row r="321">
      <c r="M321" s="37"/>
    </row>
    <row r="322">
      <c r="M322" s="37"/>
    </row>
    <row r="323">
      <c r="M323" s="37"/>
    </row>
    <row r="324">
      <c r="M324" s="37"/>
    </row>
    <row r="325">
      <c r="M325" s="37"/>
    </row>
    <row r="326">
      <c r="M326" s="37"/>
    </row>
    <row r="327">
      <c r="M327" s="37"/>
    </row>
    <row r="328">
      <c r="M328" s="37"/>
    </row>
    <row r="329">
      <c r="M329" s="37"/>
    </row>
    <row r="330">
      <c r="M330" s="37"/>
    </row>
    <row r="331">
      <c r="M331" s="37"/>
    </row>
    <row r="332">
      <c r="M332" s="37"/>
    </row>
    <row r="333">
      <c r="M333" s="37"/>
    </row>
    <row r="334">
      <c r="M334" s="37"/>
    </row>
    <row r="335">
      <c r="M335" s="37"/>
    </row>
    <row r="336">
      <c r="M336" s="37"/>
    </row>
    <row r="337">
      <c r="M337" s="37"/>
    </row>
    <row r="338">
      <c r="M338" s="37"/>
    </row>
    <row r="339">
      <c r="M339" s="37"/>
    </row>
    <row r="340">
      <c r="M340" s="37"/>
    </row>
    <row r="341">
      <c r="M341" s="37"/>
    </row>
    <row r="342">
      <c r="M342" s="37"/>
    </row>
    <row r="343">
      <c r="M343" s="37"/>
    </row>
    <row r="344">
      <c r="M344" s="37"/>
    </row>
    <row r="345">
      <c r="M345" s="37"/>
    </row>
    <row r="346">
      <c r="M346" s="37"/>
    </row>
    <row r="347">
      <c r="M347" s="37"/>
    </row>
    <row r="348">
      <c r="M348" s="37"/>
    </row>
    <row r="349">
      <c r="M349" s="37"/>
    </row>
    <row r="350">
      <c r="M350" s="37"/>
    </row>
    <row r="351">
      <c r="M351" s="37"/>
    </row>
    <row r="352">
      <c r="M352" s="37"/>
    </row>
    <row r="353">
      <c r="M353" s="37"/>
    </row>
    <row r="354">
      <c r="M354" s="37"/>
    </row>
    <row r="355">
      <c r="M355" s="37"/>
    </row>
    <row r="356">
      <c r="M356" s="37"/>
    </row>
    <row r="357">
      <c r="M357" s="37"/>
    </row>
    <row r="358">
      <c r="M358" s="37"/>
    </row>
    <row r="359">
      <c r="M359" s="37"/>
    </row>
    <row r="360">
      <c r="M360" s="37"/>
    </row>
    <row r="361">
      <c r="M361" s="37"/>
    </row>
    <row r="362">
      <c r="M362" s="37"/>
    </row>
    <row r="363">
      <c r="M363" s="37"/>
    </row>
    <row r="364">
      <c r="M364" s="37"/>
    </row>
    <row r="365">
      <c r="M365" s="37"/>
    </row>
    <row r="366">
      <c r="M366" s="37"/>
    </row>
    <row r="367">
      <c r="M367" s="37"/>
    </row>
    <row r="368">
      <c r="M368" s="37"/>
    </row>
    <row r="369">
      <c r="M369" s="37"/>
    </row>
    <row r="370">
      <c r="M370" s="37"/>
    </row>
    <row r="371">
      <c r="M371" s="37"/>
    </row>
    <row r="372">
      <c r="M372" s="37"/>
    </row>
    <row r="373">
      <c r="M373" s="37"/>
    </row>
    <row r="374">
      <c r="M374" s="37"/>
    </row>
    <row r="375">
      <c r="M375" s="37"/>
    </row>
    <row r="376">
      <c r="M376" s="37"/>
    </row>
    <row r="377">
      <c r="M377" s="37"/>
    </row>
    <row r="378">
      <c r="M378" s="37"/>
    </row>
    <row r="379">
      <c r="M379" s="37"/>
    </row>
    <row r="380">
      <c r="M380" s="37"/>
    </row>
    <row r="381">
      <c r="M381" s="37"/>
    </row>
    <row r="382">
      <c r="M382" s="37"/>
    </row>
    <row r="383">
      <c r="M383" s="37"/>
    </row>
    <row r="384">
      <c r="M384" s="37"/>
    </row>
    <row r="385">
      <c r="M385" s="37"/>
    </row>
    <row r="386">
      <c r="M386" s="37"/>
    </row>
    <row r="387">
      <c r="M387" s="37"/>
    </row>
    <row r="388">
      <c r="M388" s="37"/>
    </row>
    <row r="389">
      <c r="M389" s="37"/>
    </row>
    <row r="390">
      <c r="M390" s="37"/>
    </row>
    <row r="391">
      <c r="M391" s="37"/>
    </row>
    <row r="392">
      <c r="M392" s="37"/>
    </row>
    <row r="393">
      <c r="M393" s="37"/>
    </row>
    <row r="394">
      <c r="M394" s="37"/>
    </row>
    <row r="395">
      <c r="M395" s="37"/>
    </row>
    <row r="396">
      <c r="M396" s="37"/>
    </row>
    <row r="397">
      <c r="M397" s="37"/>
    </row>
    <row r="398">
      <c r="M398" s="37"/>
    </row>
    <row r="399">
      <c r="M399" s="37"/>
    </row>
    <row r="400">
      <c r="M400" s="37"/>
    </row>
    <row r="401">
      <c r="M401" s="37"/>
    </row>
    <row r="402">
      <c r="M402" s="37"/>
    </row>
    <row r="403">
      <c r="M403" s="37"/>
    </row>
    <row r="404">
      <c r="M404" s="37"/>
    </row>
    <row r="405">
      <c r="M405" s="37"/>
    </row>
    <row r="406">
      <c r="M406" s="37"/>
    </row>
    <row r="407">
      <c r="M407" s="37"/>
    </row>
    <row r="408">
      <c r="M408" s="37"/>
    </row>
    <row r="409">
      <c r="M409" s="37"/>
    </row>
    <row r="410">
      <c r="M410" s="37"/>
    </row>
    <row r="411">
      <c r="M411" s="37"/>
    </row>
    <row r="412">
      <c r="M412" s="37"/>
    </row>
    <row r="413">
      <c r="M413" s="37"/>
    </row>
    <row r="414">
      <c r="M414" s="37"/>
    </row>
    <row r="415">
      <c r="M415" s="37"/>
    </row>
    <row r="416">
      <c r="M416" s="37"/>
    </row>
    <row r="417">
      <c r="M417" s="37"/>
    </row>
    <row r="418">
      <c r="M418" s="37"/>
    </row>
    <row r="419">
      <c r="M419" s="37"/>
    </row>
    <row r="420">
      <c r="M420" s="37"/>
    </row>
    <row r="421">
      <c r="M421" s="37"/>
    </row>
    <row r="422">
      <c r="M422" s="37"/>
    </row>
    <row r="423">
      <c r="M423" s="37"/>
    </row>
    <row r="424">
      <c r="M424" s="37"/>
    </row>
    <row r="425">
      <c r="M425" s="37"/>
    </row>
    <row r="426">
      <c r="M426" s="37"/>
    </row>
    <row r="427">
      <c r="M427" s="37"/>
    </row>
    <row r="428">
      <c r="M428" s="37"/>
    </row>
    <row r="429">
      <c r="M429" s="37"/>
    </row>
    <row r="430">
      <c r="M430" s="37"/>
    </row>
    <row r="431">
      <c r="M431" s="37"/>
    </row>
    <row r="432">
      <c r="M432" s="37"/>
    </row>
    <row r="433">
      <c r="M433" s="37"/>
    </row>
    <row r="434">
      <c r="M434" s="37"/>
    </row>
    <row r="435">
      <c r="M435" s="37"/>
    </row>
    <row r="436">
      <c r="M436" s="37"/>
    </row>
    <row r="437">
      <c r="M437" s="37"/>
    </row>
    <row r="438">
      <c r="M438" s="37"/>
    </row>
    <row r="439">
      <c r="M439" s="37"/>
    </row>
    <row r="440">
      <c r="M440" s="37"/>
    </row>
    <row r="441">
      <c r="M441" s="37"/>
    </row>
    <row r="442">
      <c r="M442" s="37"/>
    </row>
    <row r="443">
      <c r="M443" s="37"/>
    </row>
    <row r="444">
      <c r="M444" s="37"/>
    </row>
    <row r="445">
      <c r="M445" s="37"/>
    </row>
    <row r="446">
      <c r="M446" s="37"/>
    </row>
    <row r="447">
      <c r="M447" s="37"/>
    </row>
    <row r="448">
      <c r="M448" s="37"/>
    </row>
    <row r="449">
      <c r="M449" s="37"/>
    </row>
    <row r="450">
      <c r="M450" s="37"/>
    </row>
    <row r="451">
      <c r="M451" s="37"/>
    </row>
    <row r="452">
      <c r="M452" s="37"/>
    </row>
    <row r="453">
      <c r="M453" s="37"/>
    </row>
    <row r="454">
      <c r="M454" s="37"/>
    </row>
    <row r="455">
      <c r="M455" s="37"/>
    </row>
    <row r="456">
      <c r="M456" s="37"/>
    </row>
    <row r="457">
      <c r="M457" s="37"/>
    </row>
    <row r="458">
      <c r="M458" s="37"/>
    </row>
    <row r="459">
      <c r="M459" s="37"/>
    </row>
    <row r="460">
      <c r="M460" s="37"/>
    </row>
    <row r="461">
      <c r="M461" s="37"/>
    </row>
    <row r="462">
      <c r="M462" s="37"/>
    </row>
    <row r="463">
      <c r="M463" s="37"/>
    </row>
    <row r="464">
      <c r="M464" s="37"/>
    </row>
    <row r="465">
      <c r="M465" s="37"/>
    </row>
    <row r="466">
      <c r="M466" s="37"/>
    </row>
    <row r="467">
      <c r="M467" s="37"/>
    </row>
    <row r="468">
      <c r="M468" s="37"/>
    </row>
    <row r="469">
      <c r="M469" s="37"/>
    </row>
    <row r="470">
      <c r="M470" s="37"/>
    </row>
    <row r="471">
      <c r="M471" s="37"/>
    </row>
    <row r="472">
      <c r="M472" s="37"/>
    </row>
    <row r="473">
      <c r="M473" s="37"/>
    </row>
    <row r="474">
      <c r="M474" s="37"/>
    </row>
    <row r="475">
      <c r="M475" s="37"/>
    </row>
    <row r="476">
      <c r="M476" s="37"/>
    </row>
    <row r="477">
      <c r="M477" s="37"/>
    </row>
    <row r="478">
      <c r="M478" s="37"/>
    </row>
    <row r="479">
      <c r="M479" s="37"/>
    </row>
    <row r="480">
      <c r="M480" s="37"/>
    </row>
    <row r="481">
      <c r="M481" s="37"/>
    </row>
    <row r="482">
      <c r="M482" s="37"/>
    </row>
    <row r="483">
      <c r="M483" s="37"/>
    </row>
    <row r="484">
      <c r="M484" s="37"/>
    </row>
    <row r="485">
      <c r="M485" s="37"/>
    </row>
    <row r="486">
      <c r="M486" s="37"/>
    </row>
    <row r="487">
      <c r="M487" s="37"/>
    </row>
    <row r="488">
      <c r="M488" s="37"/>
    </row>
    <row r="489">
      <c r="M489" s="37"/>
    </row>
    <row r="490">
      <c r="M490" s="37"/>
    </row>
    <row r="491">
      <c r="M491" s="37"/>
    </row>
    <row r="492">
      <c r="M492" s="37"/>
    </row>
    <row r="493">
      <c r="M493" s="37"/>
    </row>
    <row r="494">
      <c r="M494" s="37"/>
    </row>
    <row r="495">
      <c r="M495" s="37"/>
    </row>
    <row r="496">
      <c r="M496" s="37"/>
    </row>
    <row r="497">
      <c r="M497" s="37"/>
    </row>
    <row r="498">
      <c r="M498" s="37"/>
    </row>
    <row r="499">
      <c r="M499" s="37"/>
    </row>
    <row r="500">
      <c r="M500" s="37"/>
    </row>
    <row r="501">
      <c r="M501" s="37"/>
    </row>
    <row r="502">
      <c r="M502" s="37"/>
    </row>
    <row r="503">
      <c r="M503" s="37"/>
    </row>
    <row r="504">
      <c r="M504" s="37"/>
    </row>
    <row r="505">
      <c r="M505" s="37"/>
    </row>
    <row r="506">
      <c r="M506" s="37"/>
    </row>
    <row r="507">
      <c r="M507" s="37"/>
    </row>
    <row r="508">
      <c r="M508" s="37"/>
    </row>
    <row r="509">
      <c r="M509" s="37"/>
    </row>
    <row r="510">
      <c r="M510" s="37"/>
    </row>
    <row r="511">
      <c r="M511" s="37"/>
    </row>
    <row r="512">
      <c r="M512" s="37"/>
    </row>
    <row r="513">
      <c r="M513" s="37"/>
    </row>
    <row r="514">
      <c r="M514" s="37"/>
    </row>
    <row r="515">
      <c r="M515" s="37"/>
    </row>
    <row r="516">
      <c r="M516" s="37"/>
    </row>
    <row r="517">
      <c r="M517" s="37"/>
    </row>
    <row r="518">
      <c r="M518" s="37"/>
    </row>
    <row r="519">
      <c r="M519" s="37"/>
    </row>
    <row r="520">
      <c r="M520" s="37"/>
    </row>
    <row r="521">
      <c r="M521" s="37"/>
    </row>
    <row r="522">
      <c r="M522" s="37"/>
    </row>
    <row r="523">
      <c r="M523" s="37"/>
    </row>
    <row r="524">
      <c r="M524" s="37"/>
    </row>
    <row r="525">
      <c r="M525" s="37"/>
    </row>
    <row r="526">
      <c r="M526" s="37"/>
    </row>
    <row r="527">
      <c r="M527" s="37"/>
    </row>
    <row r="528">
      <c r="M528" s="37"/>
    </row>
    <row r="529">
      <c r="M529" s="37"/>
    </row>
    <row r="530">
      <c r="M530" s="37"/>
    </row>
    <row r="531">
      <c r="M531" s="37"/>
    </row>
    <row r="532">
      <c r="M532" s="37"/>
    </row>
    <row r="533">
      <c r="M533" s="37"/>
    </row>
    <row r="534">
      <c r="M534" s="37"/>
    </row>
    <row r="535">
      <c r="M535" s="37"/>
    </row>
    <row r="536">
      <c r="M536" s="37"/>
    </row>
    <row r="537">
      <c r="M537" s="37"/>
    </row>
    <row r="538">
      <c r="M538" s="37"/>
    </row>
    <row r="539">
      <c r="M539" s="37"/>
    </row>
    <row r="540">
      <c r="M540" s="37"/>
    </row>
    <row r="541">
      <c r="M541" s="37"/>
    </row>
    <row r="542">
      <c r="M542" s="37"/>
    </row>
    <row r="543">
      <c r="M543" s="37"/>
    </row>
    <row r="544">
      <c r="M544" s="37"/>
    </row>
    <row r="545">
      <c r="M545" s="37"/>
    </row>
    <row r="546">
      <c r="M546" s="37"/>
    </row>
    <row r="547">
      <c r="M547" s="37"/>
    </row>
    <row r="548">
      <c r="M548" s="37"/>
    </row>
    <row r="549">
      <c r="M549" s="37"/>
    </row>
    <row r="550">
      <c r="M550" s="37"/>
    </row>
    <row r="551">
      <c r="M551" s="37"/>
    </row>
    <row r="552">
      <c r="M552" s="37"/>
    </row>
    <row r="553">
      <c r="M553" s="37"/>
    </row>
    <row r="554">
      <c r="M554" s="37"/>
    </row>
    <row r="555">
      <c r="M555" s="37"/>
    </row>
    <row r="556">
      <c r="M556" s="37"/>
    </row>
    <row r="557">
      <c r="M557" s="37"/>
    </row>
    <row r="558">
      <c r="M558" s="37"/>
    </row>
    <row r="559">
      <c r="M559" s="37"/>
    </row>
    <row r="560">
      <c r="M560" s="37"/>
    </row>
    <row r="561">
      <c r="M561" s="37"/>
    </row>
    <row r="562">
      <c r="M562" s="37"/>
    </row>
    <row r="563">
      <c r="M563" s="37"/>
    </row>
    <row r="564">
      <c r="M564" s="37"/>
    </row>
    <row r="565">
      <c r="M565" s="37"/>
    </row>
    <row r="566">
      <c r="M566" s="37"/>
    </row>
    <row r="567">
      <c r="M567" s="37"/>
    </row>
    <row r="568">
      <c r="M568" s="37"/>
    </row>
    <row r="569">
      <c r="M569" s="37"/>
    </row>
    <row r="570">
      <c r="M570" s="37"/>
    </row>
    <row r="571">
      <c r="M571" s="37"/>
    </row>
    <row r="572">
      <c r="M572" s="37"/>
    </row>
    <row r="573">
      <c r="M573" s="37"/>
    </row>
    <row r="574">
      <c r="M574" s="37"/>
    </row>
    <row r="575">
      <c r="M575" s="37"/>
    </row>
    <row r="576">
      <c r="M576" s="37"/>
    </row>
    <row r="577">
      <c r="M577" s="37"/>
    </row>
    <row r="578">
      <c r="M578" s="37"/>
    </row>
    <row r="579">
      <c r="M579" s="37"/>
    </row>
    <row r="580">
      <c r="M580" s="37"/>
    </row>
    <row r="581">
      <c r="M581" s="37"/>
    </row>
    <row r="582">
      <c r="M582" s="37"/>
    </row>
    <row r="583">
      <c r="M583" s="37"/>
    </row>
    <row r="584">
      <c r="M584" s="37"/>
    </row>
    <row r="585">
      <c r="M585" s="37"/>
    </row>
    <row r="586">
      <c r="M586" s="37"/>
    </row>
    <row r="587">
      <c r="M587" s="37"/>
    </row>
    <row r="588">
      <c r="M588" s="37"/>
    </row>
    <row r="589">
      <c r="M589" s="37"/>
    </row>
    <row r="590">
      <c r="M590" s="37"/>
    </row>
    <row r="591">
      <c r="M591" s="37"/>
    </row>
    <row r="592">
      <c r="M592" s="37"/>
    </row>
    <row r="593">
      <c r="M593" s="37"/>
    </row>
    <row r="594">
      <c r="M594" s="37"/>
    </row>
    <row r="595">
      <c r="M595" s="37"/>
    </row>
    <row r="596">
      <c r="M596" s="37"/>
    </row>
    <row r="597">
      <c r="M597" s="37"/>
    </row>
    <row r="598">
      <c r="M598" s="37"/>
    </row>
    <row r="599">
      <c r="M599" s="37"/>
    </row>
    <row r="600">
      <c r="M600" s="37"/>
    </row>
    <row r="601">
      <c r="M601" s="37"/>
    </row>
    <row r="602">
      <c r="M602" s="37"/>
    </row>
    <row r="603">
      <c r="M603" s="37"/>
    </row>
    <row r="604">
      <c r="M604" s="37"/>
    </row>
    <row r="605">
      <c r="M605" s="37"/>
    </row>
    <row r="606">
      <c r="M606" s="37"/>
    </row>
    <row r="607">
      <c r="M607" s="37"/>
    </row>
    <row r="608">
      <c r="M608" s="37"/>
    </row>
    <row r="609">
      <c r="M609" s="37"/>
    </row>
    <row r="610">
      <c r="M610" s="37"/>
    </row>
    <row r="611">
      <c r="M611" s="37"/>
    </row>
    <row r="612">
      <c r="M612" s="37"/>
    </row>
    <row r="613">
      <c r="M613" s="37"/>
    </row>
    <row r="614">
      <c r="M614" s="37"/>
    </row>
    <row r="615">
      <c r="M615" s="37"/>
    </row>
    <row r="616">
      <c r="M616" s="37"/>
    </row>
    <row r="617">
      <c r="M617" s="37"/>
    </row>
    <row r="618">
      <c r="M618" s="37"/>
    </row>
    <row r="619">
      <c r="M619" s="37"/>
    </row>
    <row r="620">
      <c r="M620" s="37"/>
    </row>
    <row r="621">
      <c r="M621" s="37"/>
    </row>
    <row r="622">
      <c r="M622" s="37"/>
    </row>
    <row r="623">
      <c r="M623" s="37"/>
    </row>
    <row r="624">
      <c r="M624" s="37"/>
    </row>
    <row r="625">
      <c r="M625" s="37"/>
    </row>
    <row r="626">
      <c r="M626" s="37"/>
    </row>
    <row r="627">
      <c r="M627" s="37"/>
    </row>
    <row r="628">
      <c r="M628" s="37"/>
    </row>
    <row r="629">
      <c r="M629" s="37"/>
    </row>
    <row r="630">
      <c r="M630" s="37"/>
    </row>
    <row r="631">
      <c r="M631" s="37"/>
    </row>
    <row r="632">
      <c r="M632" s="37"/>
    </row>
    <row r="633">
      <c r="M633" s="37"/>
    </row>
    <row r="634">
      <c r="M634" s="37"/>
    </row>
    <row r="635">
      <c r="M635" s="37"/>
    </row>
    <row r="636">
      <c r="M636" s="37"/>
    </row>
    <row r="637">
      <c r="M637" s="37"/>
    </row>
    <row r="638">
      <c r="M638" s="37"/>
    </row>
    <row r="639">
      <c r="M639" s="37"/>
    </row>
    <row r="640">
      <c r="M640" s="37"/>
    </row>
    <row r="641">
      <c r="M641" s="37"/>
    </row>
    <row r="642">
      <c r="M642" s="37"/>
    </row>
    <row r="643">
      <c r="M643" s="37"/>
    </row>
    <row r="644">
      <c r="M644" s="37"/>
    </row>
    <row r="645">
      <c r="M645" s="37"/>
    </row>
    <row r="646">
      <c r="M646" s="37"/>
    </row>
    <row r="647">
      <c r="M647" s="37"/>
    </row>
    <row r="648">
      <c r="M648" s="37"/>
    </row>
    <row r="649">
      <c r="M649" s="37"/>
    </row>
    <row r="650">
      <c r="M650" s="37"/>
    </row>
    <row r="651">
      <c r="M651" s="37"/>
    </row>
    <row r="652">
      <c r="M652" s="37"/>
    </row>
    <row r="653">
      <c r="M653" s="37"/>
    </row>
    <row r="654">
      <c r="M654" s="37"/>
    </row>
    <row r="655">
      <c r="M655" s="37"/>
    </row>
    <row r="656">
      <c r="M656" s="37"/>
    </row>
    <row r="657">
      <c r="M657" s="37"/>
    </row>
    <row r="658">
      <c r="M658" s="37"/>
    </row>
    <row r="659">
      <c r="M659" s="37"/>
    </row>
    <row r="660">
      <c r="M660" s="37"/>
    </row>
    <row r="661">
      <c r="M661" s="37"/>
    </row>
    <row r="662">
      <c r="M662" s="37"/>
    </row>
    <row r="663">
      <c r="M663" s="37"/>
    </row>
    <row r="664">
      <c r="M664" s="37"/>
    </row>
    <row r="665">
      <c r="M665" s="37"/>
    </row>
    <row r="666">
      <c r="M666" s="37"/>
    </row>
    <row r="667">
      <c r="M667" s="37"/>
    </row>
    <row r="668">
      <c r="M668" s="37"/>
    </row>
    <row r="669">
      <c r="M669" s="37"/>
    </row>
    <row r="670">
      <c r="M670" s="37"/>
    </row>
    <row r="671">
      <c r="M671" s="37"/>
    </row>
    <row r="672">
      <c r="M672" s="37"/>
    </row>
    <row r="673">
      <c r="M673" s="37"/>
    </row>
    <row r="674">
      <c r="M674" s="37"/>
    </row>
    <row r="675">
      <c r="M675" s="37"/>
    </row>
    <row r="676">
      <c r="M676" s="37"/>
    </row>
    <row r="677">
      <c r="M677" s="37"/>
    </row>
    <row r="678">
      <c r="M678" s="37"/>
    </row>
    <row r="679">
      <c r="M679" s="37"/>
    </row>
    <row r="680">
      <c r="M680" s="37"/>
    </row>
    <row r="681">
      <c r="M681" s="37"/>
    </row>
    <row r="682">
      <c r="M682" s="37"/>
    </row>
    <row r="683">
      <c r="M683" s="37"/>
    </row>
    <row r="684">
      <c r="M684" s="37"/>
    </row>
    <row r="685">
      <c r="M685" s="37"/>
    </row>
    <row r="686">
      <c r="M686" s="37"/>
    </row>
    <row r="687">
      <c r="M687" s="37"/>
    </row>
    <row r="688">
      <c r="M688" s="37"/>
    </row>
    <row r="689">
      <c r="M689" s="37"/>
    </row>
    <row r="690">
      <c r="M690" s="37"/>
    </row>
    <row r="691">
      <c r="M691" s="37"/>
    </row>
    <row r="692">
      <c r="M692" s="37"/>
    </row>
    <row r="693">
      <c r="M693" s="37"/>
    </row>
    <row r="694">
      <c r="M694" s="37"/>
    </row>
    <row r="695">
      <c r="M695" s="37"/>
    </row>
    <row r="696">
      <c r="M696" s="37"/>
    </row>
    <row r="697">
      <c r="M697" s="37"/>
    </row>
    <row r="698">
      <c r="M698" s="37"/>
    </row>
    <row r="699">
      <c r="M699" s="37"/>
    </row>
    <row r="700">
      <c r="M700" s="37"/>
    </row>
    <row r="701">
      <c r="M701" s="37"/>
    </row>
    <row r="702">
      <c r="M702" s="37"/>
    </row>
    <row r="703">
      <c r="M703" s="37"/>
    </row>
    <row r="704">
      <c r="M704" s="37"/>
    </row>
    <row r="705">
      <c r="M705" s="37"/>
    </row>
    <row r="706">
      <c r="M706" s="37"/>
    </row>
    <row r="707">
      <c r="M707" s="37"/>
    </row>
    <row r="708">
      <c r="M708" s="37"/>
    </row>
    <row r="709">
      <c r="M709" s="37"/>
    </row>
    <row r="710">
      <c r="M710" s="37"/>
    </row>
    <row r="711">
      <c r="M711" s="37"/>
    </row>
    <row r="712">
      <c r="M712" s="37"/>
    </row>
    <row r="713">
      <c r="M713" s="37"/>
    </row>
    <row r="714">
      <c r="M714" s="37"/>
    </row>
    <row r="715">
      <c r="M715" s="37"/>
    </row>
    <row r="716">
      <c r="M716" s="37"/>
    </row>
    <row r="717">
      <c r="M717" s="37"/>
    </row>
    <row r="718">
      <c r="M718" s="37"/>
    </row>
    <row r="719">
      <c r="M719" s="37"/>
    </row>
    <row r="720">
      <c r="M720" s="37"/>
    </row>
    <row r="721">
      <c r="M721" s="37"/>
    </row>
    <row r="722">
      <c r="M722" s="37"/>
    </row>
    <row r="723">
      <c r="M723" s="37"/>
    </row>
    <row r="724">
      <c r="M724" s="37"/>
    </row>
    <row r="725">
      <c r="M725" s="37"/>
    </row>
    <row r="726">
      <c r="M726" s="37"/>
    </row>
    <row r="727">
      <c r="M727" s="37"/>
    </row>
    <row r="728">
      <c r="M728" s="37"/>
    </row>
    <row r="729">
      <c r="M729" s="37"/>
    </row>
    <row r="730">
      <c r="M730" s="37"/>
    </row>
    <row r="731">
      <c r="M731" s="37"/>
    </row>
    <row r="732">
      <c r="M732" s="37"/>
    </row>
    <row r="733">
      <c r="M733" s="37"/>
    </row>
    <row r="734">
      <c r="M734" s="37"/>
    </row>
    <row r="735">
      <c r="M735" s="37"/>
    </row>
    <row r="736">
      <c r="M736" s="37"/>
    </row>
    <row r="737">
      <c r="M737" s="37"/>
    </row>
    <row r="738">
      <c r="M738" s="37"/>
    </row>
    <row r="739">
      <c r="M739" s="37"/>
    </row>
    <row r="740">
      <c r="M740" s="37"/>
    </row>
    <row r="741">
      <c r="M741" s="37"/>
    </row>
    <row r="742">
      <c r="M742" s="37"/>
    </row>
    <row r="743">
      <c r="M743" s="37"/>
    </row>
    <row r="744">
      <c r="M744" s="37"/>
    </row>
    <row r="745">
      <c r="M745" s="37"/>
    </row>
    <row r="746">
      <c r="M746" s="37"/>
    </row>
    <row r="747">
      <c r="M747" s="37"/>
    </row>
    <row r="748">
      <c r="M748" s="37"/>
    </row>
    <row r="749">
      <c r="M749" s="37"/>
    </row>
    <row r="750">
      <c r="M750" s="37"/>
    </row>
    <row r="751">
      <c r="M751" s="37"/>
    </row>
    <row r="752">
      <c r="M752" s="37"/>
    </row>
    <row r="753">
      <c r="M753" s="37"/>
    </row>
    <row r="754">
      <c r="M754" s="37"/>
    </row>
    <row r="755">
      <c r="M755" s="37"/>
    </row>
    <row r="756">
      <c r="M756" s="37"/>
    </row>
    <row r="757">
      <c r="M757" s="37"/>
    </row>
    <row r="758">
      <c r="M758" s="37"/>
    </row>
    <row r="759">
      <c r="M759" s="37"/>
    </row>
    <row r="760">
      <c r="M760" s="37"/>
    </row>
    <row r="761">
      <c r="M761" s="37"/>
    </row>
    <row r="762">
      <c r="M762" s="37"/>
    </row>
    <row r="763">
      <c r="M763" s="37"/>
    </row>
    <row r="764">
      <c r="M764" s="37"/>
    </row>
    <row r="765">
      <c r="M765" s="37"/>
    </row>
    <row r="766">
      <c r="M766" s="37"/>
    </row>
    <row r="767">
      <c r="M767" s="37"/>
    </row>
    <row r="768">
      <c r="M768" s="37"/>
    </row>
    <row r="769">
      <c r="M769" s="37"/>
    </row>
    <row r="770">
      <c r="M770" s="37"/>
    </row>
    <row r="771">
      <c r="M771" s="37"/>
    </row>
    <row r="772">
      <c r="M772" s="37"/>
    </row>
    <row r="773">
      <c r="M773" s="37"/>
    </row>
    <row r="774">
      <c r="M774" s="37"/>
    </row>
    <row r="775">
      <c r="M775" s="37"/>
    </row>
    <row r="776">
      <c r="M776" s="37"/>
    </row>
    <row r="777">
      <c r="M777" s="37"/>
    </row>
    <row r="778">
      <c r="M778" s="37"/>
    </row>
    <row r="779">
      <c r="M779" s="37"/>
    </row>
    <row r="780">
      <c r="M780" s="37"/>
    </row>
    <row r="781">
      <c r="M781" s="37"/>
    </row>
    <row r="782">
      <c r="M782" s="37"/>
    </row>
    <row r="783">
      <c r="M783" s="37"/>
    </row>
    <row r="784">
      <c r="M784" s="37"/>
    </row>
    <row r="785">
      <c r="M785" s="37"/>
    </row>
    <row r="786">
      <c r="M786" s="37"/>
    </row>
    <row r="787">
      <c r="M787" s="37"/>
    </row>
    <row r="788">
      <c r="M788" s="37"/>
    </row>
    <row r="789">
      <c r="M789" s="37"/>
    </row>
    <row r="790">
      <c r="M790" s="37"/>
    </row>
    <row r="791">
      <c r="M791" s="37"/>
    </row>
    <row r="792">
      <c r="M792" s="37"/>
    </row>
    <row r="793">
      <c r="M793" s="37"/>
    </row>
    <row r="794">
      <c r="M794" s="37"/>
    </row>
    <row r="795">
      <c r="M795" s="37"/>
    </row>
    <row r="796">
      <c r="M796" s="37"/>
    </row>
    <row r="797">
      <c r="M797" s="37"/>
    </row>
    <row r="798">
      <c r="M798" s="37"/>
    </row>
    <row r="799">
      <c r="M799" s="37"/>
    </row>
    <row r="800">
      <c r="M800" s="37"/>
    </row>
    <row r="801">
      <c r="M801" s="37"/>
    </row>
    <row r="802">
      <c r="M802" s="37"/>
    </row>
    <row r="803">
      <c r="M803" s="37"/>
    </row>
    <row r="804">
      <c r="M804" s="37"/>
    </row>
    <row r="805">
      <c r="M805" s="37"/>
    </row>
    <row r="806">
      <c r="M806" s="37"/>
    </row>
    <row r="807">
      <c r="M807" s="37"/>
    </row>
    <row r="808">
      <c r="M808" s="37"/>
    </row>
    <row r="809">
      <c r="M809" s="37"/>
    </row>
    <row r="810">
      <c r="M810" s="37"/>
    </row>
    <row r="811">
      <c r="M811" s="37"/>
    </row>
    <row r="812">
      <c r="M812" s="37"/>
    </row>
    <row r="813">
      <c r="M813" s="37"/>
    </row>
    <row r="814">
      <c r="M814" s="37"/>
    </row>
    <row r="815">
      <c r="M815" s="37"/>
    </row>
    <row r="816">
      <c r="M816" s="37"/>
    </row>
    <row r="817">
      <c r="M817" s="37"/>
    </row>
    <row r="818">
      <c r="M818" s="37"/>
    </row>
    <row r="819">
      <c r="M819" s="37"/>
    </row>
    <row r="820">
      <c r="M820" s="37"/>
    </row>
    <row r="821">
      <c r="M821" s="37"/>
    </row>
    <row r="822">
      <c r="M822" s="37"/>
    </row>
    <row r="823">
      <c r="M823" s="37"/>
    </row>
    <row r="824">
      <c r="M824" s="37"/>
    </row>
    <row r="825">
      <c r="M825" s="37"/>
    </row>
    <row r="826">
      <c r="M826" s="37"/>
    </row>
    <row r="827">
      <c r="M827" s="37"/>
    </row>
    <row r="828">
      <c r="M828" s="37"/>
    </row>
    <row r="829">
      <c r="M829" s="37"/>
    </row>
    <row r="830">
      <c r="M830" s="37"/>
    </row>
    <row r="831">
      <c r="M831" s="37"/>
    </row>
    <row r="832">
      <c r="M832" s="37"/>
    </row>
    <row r="833">
      <c r="M833" s="37"/>
    </row>
    <row r="834">
      <c r="M834" s="37"/>
    </row>
    <row r="835">
      <c r="M835" s="37"/>
    </row>
    <row r="836">
      <c r="M836" s="37"/>
    </row>
    <row r="837">
      <c r="M837" s="37"/>
    </row>
    <row r="838">
      <c r="M838" s="37"/>
    </row>
    <row r="839">
      <c r="M839" s="37"/>
    </row>
    <row r="840">
      <c r="M840" s="37"/>
    </row>
    <row r="841">
      <c r="M841" s="37"/>
    </row>
    <row r="842">
      <c r="M842" s="37"/>
    </row>
    <row r="843">
      <c r="M843" s="37"/>
    </row>
    <row r="844">
      <c r="M844" s="37"/>
    </row>
    <row r="845">
      <c r="M845" s="37"/>
    </row>
    <row r="846">
      <c r="M846" s="37"/>
    </row>
    <row r="847">
      <c r="M847" s="37"/>
    </row>
    <row r="848">
      <c r="M848" s="37"/>
    </row>
    <row r="849">
      <c r="M849" s="37"/>
    </row>
    <row r="850">
      <c r="M850" s="37"/>
    </row>
    <row r="851">
      <c r="M851" s="37"/>
    </row>
    <row r="852">
      <c r="M852" s="37"/>
    </row>
    <row r="853">
      <c r="M853" s="37"/>
    </row>
    <row r="854">
      <c r="M854" s="37"/>
    </row>
    <row r="855">
      <c r="M855" s="37"/>
    </row>
    <row r="856">
      <c r="M856" s="37"/>
    </row>
    <row r="857">
      <c r="M857" s="37"/>
    </row>
    <row r="858">
      <c r="M858" s="37"/>
    </row>
    <row r="859">
      <c r="M859" s="37"/>
    </row>
    <row r="860">
      <c r="M860" s="37"/>
    </row>
    <row r="861">
      <c r="M861" s="37"/>
    </row>
    <row r="862">
      <c r="M862" s="37"/>
    </row>
    <row r="863">
      <c r="M863" s="37"/>
    </row>
    <row r="864">
      <c r="M864" s="37"/>
    </row>
    <row r="865">
      <c r="M865" s="37"/>
    </row>
    <row r="866">
      <c r="M866" s="37"/>
    </row>
    <row r="867">
      <c r="M867" s="37"/>
    </row>
    <row r="868">
      <c r="M868" s="37"/>
    </row>
    <row r="869">
      <c r="M869" s="37"/>
    </row>
    <row r="870">
      <c r="M870" s="37"/>
    </row>
    <row r="871">
      <c r="M871" s="37"/>
    </row>
    <row r="872">
      <c r="M872" s="37"/>
    </row>
    <row r="873">
      <c r="M873" s="37"/>
    </row>
    <row r="874">
      <c r="M874" s="37"/>
    </row>
    <row r="875">
      <c r="M875" s="37"/>
    </row>
    <row r="876">
      <c r="M876" s="37"/>
    </row>
    <row r="877">
      <c r="M877" s="37"/>
    </row>
    <row r="878">
      <c r="M878" s="37"/>
    </row>
    <row r="879">
      <c r="M879" s="37"/>
    </row>
    <row r="880">
      <c r="M880" s="37"/>
    </row>
    <row r="881">
      <c r="M881" s="37"/>
    </row>
    <row r="882">
      <c r="M882" s="37"/>
    </row>
    <row r="883">
      <c r="M883" s="37"/>
    </row>
    <row r="884">
      <c r="M884" s="37"/>
    </row>
    <row r="885">
      <c r="M885" s="37"/>
    </row>
    <row r="886">
      <c r="M886" s="37"/>
    </row>
    <row r="887">
      <c r="M887" s="37"/>
    </row>
    <row r="888">
      <c r="M888" s="37"/>
    </row>
    <row r="889">
      <c r="M889" s="37"/>
    </row>
    <row r="890">
      <c r="M890" s="37"/>
    </row>
    <row r="891">
      <c r="M891" s="37"/>
    </row>
    <row r="892">
      <c r="M892" s="37"/>
    </row>
    <row r="893">
      <c r="M893" s="37"/>
    </row>
    <row r="894">
      <c r="M894" s="37"/>
    </row>
    <row r="895">
      <c r="M895" s="37"/>
    </row>
    <row r="896">
      <c r="M896" s="37"/>
    </row>
    <row r="897">
      <c r="M897" s="37"/>
    </row>
    <row r="898">
      <c r="M898" s="37"/>
    </row>
    <row r="899">
      <c r="M899" s="37"/>
    </row>
    <row r="900">
      <c r="M900" s="37"/>
    </row>
    <row r="901">
      <c r="M901" s="37"/>
    </row>
    <row r="902">
      <c r="M902" s="37"/>
    </row>
    <row r="903">
      <c r="M903" s="37"/>
    </row>
    <row r="904">
      <c r="M904" s="37"/>
    </row>
    <row r="905">
      <c r="M905" s="37"/>
    </row>
    <row r="906">
      <c r="M906" s="37"/>
    </row>
    <row r="907">
      <c r="M907" s="37"/>
    </row>
    <row r="908">
      <c r="M908" s="37"/>
    </row>
    <row r="909">
      <c r="M909" s="37"/>
    </row>
    <row r="910">
      <c r="M910" s="37"/>
    </row>
    <row r="911">
      <c r="M911" s="37"/>
    </row>
    <row r="912">
      <c r="M912" s="37"/>
    </row>
    <row r="913">
      <c r="M913" s="37"/>
    </row>
    <row r="914">
      <c r="M914" s="37"/>
    </row>
    <row r="915">
      <c r="M915" s="37"/>
    </row>
    <row r="916">
      <c r="M916" s="37"/>
    </row>
    <row r="917">
      <c r="M917" s="37"/>
    </row>
    <row r="918">
      <c r="M918" s="37"/>
    </row>
    <row r="919">
      <c r="M919" s="37"/>
    </row>
    <row r="920">
      <c r="M920" s="37"/>
    </row>
    <row r="921">
      <c r="M921" s="37"/>
    </row>
    <row r="922">
      <c r="M922" s="37"/>
    </row>
    <row r="923">
      <c r="M923" s="37"/>
    </row>
    <row r="924">
      <c r="M924" s="37"/>
    </row>
    <row r="925">
      <c r="M925" s="37"/>
    </row>
    <row r="926">
      <c r="M926" s="37"/>
    </row>
    <row r="927">
      <c r="M927" s="37"/>
    </row>
    <row r="928">
      <c r="M928" s="37"/>
    </row>
    <row r="929">
      <c r="M929" s="37"/>
    </row>
    <row r="930">
      <c r="M930" s="37"/>
    </row>
    <row r="931">
      <c r="M931" s="37"/>
    </row>
    <row r="932">
      <c r="M932" s="37"/>
    </row>
    <row r="933">
      <c r="M933" s="37"/>
    </row>
    <row r="934">
      <c r="M934" s="37"/>
    </row>
    <row r="935">
      <c r="M935" s="37"/>
    </row>
    <row r="936">
      <c r="M936" s="37"/>
    </row>
    <row r="937">
      <c r="M937" s="37"/>
    </row>
    <row r="938">
      <c r="M938" s="37"/>
    </row>
    <row r="939">
      <c r="M939" s="37"/>
    </row>
    <row r="940">
      <c r="M940" s="37"/>
    </row>
    <row r="941">
      <c r="M941" s="37"/>
    </row>
    <row r="942">
      <c r="M942" s="37"/>
    </row>
    <row r="943">
      <c r="M943" s="37"/>
    </row>
    <row r="944">
      <c r="M944" s="37"/>
    </row>
    <row r="945">
      <c r="M945" s="37"/>
    </row>
    <row r="946">
      <c r="M946" s="37"/>
    </row>
    <row r="947">
      <c r="M947" s="37"/>
    </row>
    <row r="948">
      <c r="M948" s="37"/>
    </row>
    <row r="949">
      <c r="M949" s="37"/>
    </row>
    <row r="950">
      <c r="M950" s="37"/>
    </row>
    <row r="951">
      <c r="M951" s="37"/>
    </row>
    <row r="952">
      <c r="M952" s="37"/>
    </row>
    <row r="953">
      <c r="M953" s="37"/>
    </row>
    <row r="954">
      <c r="M954" s="37"/>
    </row>
    <row r="955">
      <c r="M955" s="37"/>
    </row>
    <row r="956">
      <c r="M956" s="37"/>
    </row>
    <row r="957">
      <c r="M957" s="37"/>
    </row>
    <row r="958">
      <c r="M958" s="37"/>
    </row>
    <row r="959">
      <c r="M959" s="37"/>
    </row>
    <row r="960">
      <c r="M960" s="37"/>
    </row>
    <row r="961">
      <c r="M961" s="37"/>
    </row>
    <row r="962">
      <c r="M962" s="37"/>
    </row>
    <row r="963">
      <c r="M963" s="37"/>
    </row>
    <row r="964">
      <c r="M964" s="37"/>
    </row>
    <row r="965">
      <c r="M965" s="37"/>
    </row>
    <row r="966">
      <c r="M966" s="37"/>
    </row>
    <row r="967">
      <c r="M967" s="37"/>
    </row>
    <row r="968">
      <c r="M968" s="37"/>
    </row>
    <row r="969">
      <c r="M969" s="37"/>
    </row>
    <row r="970">
      <c r="M970" s="37"/>
    </row>
    <row r="971">
      <c r="M971" s="37"/>
    </row>
    <row r="972">
      <c r="M972" s="37"/>
    </row>
    <row r="973">
      <c r="M973" s="37"/>
    </row>
    <row r="974">
      <c r="M974" s="37"/>
    </row>
    <row r="975">
      <c r="M975" s="37"/>
    </row>
    <row r="976">
      <c r="M976" s="37"/>
    </row>
    <row r="977">
      <c r="M977" s="37"/>
    </row>
    <row r="978">
      <c r="M978" s="37"/>
    </row>
    <row r="979">
      <c r="M979" s="37"/>
    </row>
    <row r="980">
      <c r="M980" s="37"/>
    </row>
    <row r="981">
      <c r="M981" s="37"/>
    </row>
    <row r="982">
      <c r="M982" s="37"/>
    </row>
    <row r="983">
      <c r="M983" s="37"/>
    </row>
    <row r="984">
      <c r="M984" s="37"/>
    </row>
    <row r="985">
      <c r="M985" s="37"/>
    </row>
    <row r="986">
      <c r="M986" s="37"/>
    </row>
    <row r="987">
      <c r="M987" s="37"/>
    </row>
    <row r="988">
      <c r="M988" s="37"/>
    </row>
    <row r="989">
      <c r="M989" s="37"/>
    </row>
    <row r="990">
      <c r="M990" s="37"/>
    </row>
    <row r="991">
      <c r="M991" s="37"/>
    </row>
    <row r="992">
      <c r="M992" s="37"/>
    </row>
    <row r="993">
      <c r="M993" s="37"/>
    </row>
    <row r="994">
      <c r="M994" s="37"/>
    </row>
    <row r="995">
      <c r="M995" s="37"/>
    </row>
    <row r="996">
      <c r="M996" s="37"/>
    </row>
    <row r="997">
      <c r="M997" s="37"/>
    </row>
    <row r="998">
      <c r="M998" s="37"/>
    </row>
    <row r="999">
      <c r="M999" s="37"/>
    </row>
    <row r="1000">
      <c r="M1000" s="37"/>
    </row>
  </sheetData>
  <autoFilter ref="$A$1:$V$13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31.13"/>
    <col hidden="1" min="3" max="17" width="12.63"/>
    <col hidden="1" min="19" max="32" width="12.63"/>
    <col customWidth="1" min="33" max="33" width="21.25"/>
    <col customWidth="1" min="34" max="34" width="20.63"/>
    <col hidden="1" min="35" max="54" width="12.63"/>
  </cols>
  <sheetData>
    <row r="1">
      <c r="A1" s="3" t="s">
        <v>3</v>
      </c>
      <c r="B1" s="3" t="s">
        <v>1</v>
      </c>
      <c r="C1" s="3" t="s">
        <v>22</v>
      </c>
      <c r="D1" s="3" t="s">
        <v>24</v>
      </c>
      <c r="E1" s="3" t="s">
        <v>4</v>
      </c>
      <c r="F1" s="3" t="s">
        <v>27</v>
      </c>
      <c r="G1" s="3" t="s">
        <v>30</v>
      </c>
      <c r="H1" s="3" t="s">
        <v>32</v>
      </c>
      <c r="I1" s="3" t="s">
        <v>34</v>
      </c>
      <c r="J1" s="3" t="s">
        <v>36</v>
      </c>
      <c r="K1" s="3" t="s">
        <v>37</v>
      </c>
      <c r="L1" s="3" t="s">
        <v>39</v>
      </c>
      <c r="M1" s="3" t="s">
        <v>43</v>
      </c>
      <c r="N1" s="3" t="s">
        <v>46</v>
      </c>
      <c r="O1" s="3" t="s">
        <v>50</v>
      </c>
      <c r="P1" s="3" t="s">
        <v>51</v>
      </c>
      <c r="Q1" s="3" t="s">
        <v>54</v>
      </c>
      <c r="R1" s="3" t="s">
        <v>9</v>
      </c>
      <c r="S1" s="3" t="s">
        <v>56</v>
      </c>
      <c r="T1" s="3" t="s">
        <v>58</v>
      </c>
      <c r="U1" s="3" t="s">
        <v>60</v>
      </c>
      <c r="V1" s="3" t="s">
        <v>61</v>
      </c>
      <c r="W1" s="3" t="s">
        <v>63</v>
      </c>
      <c r="X1" s="3" t="s">
        <v>65</v>
      </c>
      <c r="Y1" s="3" t="s">
        <v>66</v>
      </c>
      <c r="Z1" s="3" t="s">
        <v>68</v>
      </c>
      <c r="AA1" s="3" t="s">
        <v>69</v>
      </c>
      <c r="AB1" s="3" t="s">
        <v>72</v>
      </c>
      <c r="AC1" s="3" t="s">
        <v>75</v>
      </c>
      <c r="AD1" s="3" t="s">
        <v>76</v>
      </c>
      <c r="AE1" s="3" t="s">
        <v>79</v>
      </c>
      <c r="AF1" s="3" t="s">
        <v>82</v>
      </c>
      <c r="AG1" s="3" t="s">
        <v>16</v>
      </c>
      <c r="AH1" s="3" t="s">
        <v>18</v>
      </c>
      <c r="AI1" s="3" t="s">
        <v>84</v>
      </c>
      <c r="AJ1" s="3" t="s">
        <v>86</v>
      </c>
      <c r="AK1" s="3" t="s">
        <v>88</v>
      </c>
      <c r="AL1" s="3" t="s">
        <v>90</v>
      </c>
      <c r="AM1" s="3" t="s">
        <v>91</v>
      </c>
      <c r="AN1" s="3" t="s">
        <v>92</v>
      </c>
      <c r="AO1" s="3" t="s">
        <v>93</v>
      </c>
      <c r="AP1" s="3" t="s">
        <v>94</v>
      </c>
      <c r="AQ1" s="3" t="s">
        <v>95</v>
      </c>
      <c r="AR1" s="3" t="s">
        <v>96</v>
      </c>
      <c r="AS1" s="3" t="s">
        <v>97</v>
      </c>
      <c r="AT1" s="3" t="s">
        <v>99</v>
      </c>
      <c r="AU1" s="3" t="s">
        <v>102</v>
      </c>
      <c r="AV1" s="3" t="s">
        <v>103</v>
      </c>
      <c r="AW1" s="3" t="s">
        <v>104</v>
      </c>
      <c r="AX1" s="3" t="s">
        <v>106</v>
      </c>
      <c r="AY1" s="3" t="s">
        <v>109</v>
      </c>
      <c r="AZ1" s="3" t="s">
        <v>111</v>
      </c>
      <c r="BA1" s="3" t="s">
        <v>112</v>
      </c>
      <c r="BB1" s="3" t="s">
        <v>113</v>
      </c>
    </row>
    <row r="2">
      <c r="A2" s="10">
        <v>187078.0</v>
      </c>
      <c r="B2" s="11" t="s">
        <v>20</v>
      </c>
      <c r="C2" s="11">
        <v>8.7887345099E10</v>
      </c>
      <c r="D2" s="11" t="s">
        <v>120</v>
      </c>
      <c r="E2" s="11" t="s">
        <v>41</v>
      </c>
      <c r="F2" s="11" t="s">
        <v>122</v>
      </c>
      <c r="G2" s="11" t="s">
        <v>124</v>
      </c>
      <c r="H2" s="13">
        <v>31659.0</v>
      </c>
      <c r="I2" s="10">
        <v>694.0</v>
      </c>
      <c r="J2" s="11" t="s">
        <v>128</v>
      </c>
      <c r="K2" s="11" t="s">
        <v>130</v>
      </c>
      <c r="L2" s="11" t="s">
        <v>131</v>
      </c>
      <c r="M2" s="10">
        <v>11.0</v>
      </c>
      <c r="N2" s="10">
        <v>694.0</v>
      </c>
      <c r="O2" s="10">
        <v>2006.0</v>
      </c>
      <c r="P2" s="11" t="s">
        <v>133</v>
      </c>
      <c r="Q2" s="11" t="s">
        <v>136</v>
      </c>
      <c r="R2" s="13">
        <v>43409.0</v>
      </c>
      <c r="S2" s="11" t="s">
        <v>137</v>
      </c>
      <c r="T2" s="14"/>
      <c r="U2" s="13">
        <v>46265.0</v>
      </c>
      <c r="W2" s="11" t="s">
        <v>143</v>
      </c>
      <c r="X2" s="11">
        <v>2.0181101E7</v>
      </c>
      <c r="Y2" s="11" t="s">
        <v>145</v>
      </c>
      <c r="Z2" s="10">
        <v>12.0</v>
      </c>
      <c r="AA2" s="10">
        <v>721.0</v>
      </c>
      <c r="AB2" s="14"/>
      <c r="AC2" s="14"/>
      <c r="AD2" s="11" t="s">
        <v>147</v>
      </c>
      <c r="AE2" s="11" t="s">
        <v>149</v>
      </c>
      <c r="AF2" s="14"/>
      <c r="AG2" s="13">
        <v>46167.0</v>
      </c>
      <c r="AH2" s="13">
        <v>46265.0</v>
      </c>
      <c r="AI2" s="14"/>
      <c r="AJ2" s="10">
        <v>11073.0</v>
      </c>
      <c r="AK2" s="14"/>
      <c r="AL2" s="14"/>
      <c r="AM2" s="11">
        <v>2.1033169232E10</v>
      </c>
      <c r="AN2" s="11">
        <v>1.737584458E9</v>
      </c>
      <c r="AO2" s="11">
        <v>5.89400142009E14</v>
      </c>
      <c r="AP2" s="11" t="s">
        <v>136</v>
      </c>
      <c r="AQ2" s="11" t="s">
        <v>153</v>
      </c>
      <c r="AR2" s="11" t="s">
        <v>154</v>
      </c>
      <c r="AS2" s="11" t="s">
        <v>156</v>
      </c>
      <c r="AT2" s="11" t="s">
        <v>158</v>
      </c>
      <c r="AU2" s="11" t="s">
        <v>160</v>
      </c>
      <c r="AV2" s="11" t="s">
        <v>162</v>
      </c>
      <c r="AW2" s="11" t="s">
        <v>164</v>
      </c>
      <c r="AX2" s="11">
        <v>8.691115984E9</v>
      </c>
      <c r="AY2" s="11" t="s">
        <v>167</v>
      </c>
      <c r="AZ2" s="11">
        <v>8.5772005148E10</v>
      </c>
      <c r="BA2" s="11" t="s">
        <v>168</v>
      </c>
      <c r="BB2" s="11" t="s">
        <v>170</v>
      </c>
    </row>
    <row r="3">
      <c r="A3" s="10">
        <v>187079.0</v>
      </c>
      <c r="B3" s="11" t="s">
        <v>29</v>
      </c>
      <c r="C3" s="11">
        <v>8.5754771101E10</v>
      </c>
      <c r="D3" s="11" t="s">
        <v>173</v>
      </c>
      <c r="E3" s="11" t="s">
        <v>41</v>
      </c>
      <c r="F3" s="11" t="s">
        <v>122</v>
      </c>
      <c r="G3" s="11">
        <v>6.37102511191001E15</v>
      </c>
      <c r="H3" s="13">
        <v>33553.0</v>
      </c>
      <c r="I3" s="10">
        <v>891.0</v>
      </c>
      <c r="J3" s="11" t="s">
        <v>128</v>
      </c>
      <c r="K3" s="11" t="s">
        <v>130</v>
      </c>
      <c r="L3" s="11" t="s">
        <v>131</v>
      </c>
      <c r="M3" s="10">
        <v>22.0</v>
      </c>
      <c r="N3" s="10">
        <v>891.0</v>
      </c>
      <c r="O3" s="10">
        <v>5055.0</v>
      </c>
      <c r="P3" s="11" t="s">
        <v>181</v>
      </c>
      <c r="Q3" s="11" t="s">
        <v>136</v>
      </c>
      <c r="R3" s="13">
        <v>42826.0</v>
      </c>
      <c r="S3" s="11" t="s">
        <v>137</v>
      </c>
      <c r="T3" s="14"/>
      <c r="U3" s="13">
        <v>46265.0</v>
      </c>
      <c r="W3" s="11" t="s">
        <v>143</v>
      </c>
      <c r="X3" s="11">
        <v>2.0170401E7</v>
      </c>
      <c r="Y3" s="11" t="s">
        <v>145</v>
      </c>
      <c r="Z3" s="10">
        <v>22.0</v>
      </c>
      <c r="AA3" s="10">
        <v>891.0</v>
      </c>
      <c r="AB3" s="14"/>
      <c r="AC3" s="14"/>
      <c r="AD3" s="11" t="s">
        <v>147</v>
      </c>
      <c r="AE3" s="11" t="s">
        <v>149</v>
      </c>
      <c r="AF3" s="14"/>
      <c r="AG3" s="13">
        <v>46167.0</v>
      </c>
      <c r="AH3" s="13">
        <v>46265.0</v>
      </c>
      <c r="AI3" s="14"/>
      <c r="AJ3" s="10">
        <v>11060.0</v>
      </c>
      <c r="AK3" s="14"/>
      <c r="AL3" s="14"/>
      <c r="AM3" s="11">
        <v>2.304892941E10</v>
      </c>
      <c r="AN3" s="11">
        <v>2.044139477E9</v>
      </c>
      <c r="AO3" s="11">
        <v>7.55898756731E14</v>
      </c>
      <c r="AP3" s="11" t="s">
        <v>136</v>
      </c>
      <c r="AQ3" s="11" t="s">
        <v>153</v>
      </c>
      <c r="AR3" s="11" t="s">
        <v>154</v>
      </c>
      <c r="AS3" s="11" t="s">
        <v>156</v>
      </c>
      <c r="AT3" s="11" t="s">
        <v>189</v>
      </c>
      <c r="AU3" s="11" t="s">
        <v>160</v>
      </c>
      <c r="AV3" s="11" t="s">
        <v>162</v>
      </c>
      <c r="AW3" s="11" t="s">
        <v>192</v>
      </c>
      <c r="AX3" s="11">
        <v>5.1191591E8</v>
      </c>
      <c r="AY3" s="11" t="s">
        <v>195</v>
      </c>
      <c r="AZ3" s="11">
        <v>8.2150088297E10</v>
      </c>
      <c r="BA3" s="11" t="s">
        <v>197</v>
      </c>
      <c r="BB3" s="11" t="s">
        <v>198</v>
      </c>
    </row>
    <row r="4">
      <c r="A4" s="10">
        <v>187085.0</v>
      </c>
      <c r="B4" s="11" t="s">
        <v>33</v>
      </c>
      <c r="C4" s="11">
        <v>8.2128843818E10</v>
      </c>
      <c r="D4" s="11" t="s">
        <v>201</v>
      </c>
      <c r="E4" s="11" t="s">
        <v>41</v>
      </c>
      <c r="F4" s="11" t="s">
        <v>122</v>
      </c>
      <c r="G4" s="11" t="s">
        <v>203</v>
      </c>
      <c r="H4" s="13">
        <v>34938.0</v>
      </c>
      <c r="I4" s="10">
        <v>901.0</v>
      </c>
      <c r="J4" s="11" t="s">
        <v>128</v>
      </c>
      <c r="K4" s="14"/>
      <c r="L4" s="11" t="s">
        <v>207</v>
      </c>
      <c r="M4" s="10">
        <v>23.0</v>
      </c>
      <c r="N4" s="10">
        <v>901.0</v>
      </c>
      <c r="O4" s="10">
        <v>1418.0</v>
      </c>
      <c r="P4" s="11" t="s">
        <v>209</v>
      </c>
      <c r="Q4" s="11" t="s">
        <v>136</v>
      </c>
      <c r="R4" s="13">
        <v>43777.0</v>
      </c>
      <c r="S4" s="11" t="s">
        <v>137</v>
      </c>
      <c r="T4" s="14"/>
      <c r="U4" s="13">
        <v>46265.0</v>
      </c>
      <c r="W4" s="11" t="s">
        <v>143</v>
      </c>
      <c r="X4" s="11">
        <v>2.0191101E7</v>
      </c>
      <c r="Y4" s="11" t="s">
        <v>145</v>
      </c>
      <c r="Z4" s="10">
        <v>23.0</v>
      </c>
      <c r="AA4" s="10">
        <v>901.0</v>
      </c>
      <c r="AB4" s="14"/>
      <c r="AC4" s="14"/>
      <c r="AD4" s="11" t="s">
        <v>147</v>
      </c>
      <c r="AE4" s="11" t="s">
        <v>149</v>
      </c>
      <c r="AF4" s="14"/>
      <c r="AG4" s="13">
        <v>46167.0</v>
      </c>
      <c r="AH4" s="13">
        <v>46265.0</v>
      </c>
      <c r="AI4" s="14"/>
      <c r="AJ4" s="10">
        <v>11113.0</v>
      </c>
      <c r="AK4" s="14"/>
      <c r="AL4" s="14"/>
      <c r="AM4" s="11">
        <v>2.3048929329E10</v>
      </c>
      <c r="AN4" s="11">
        <v>2.265201641E9</v>
      </c>
      <c r="AO4" s="11">
        <v>9.40212715722E14</v>
      </c>
      <c r="AP4" s="11" t="s">
        <v>136</v>
      </c>
      <c r="AQ4" s="11" t="s">
        <v>153</v>
      </c>
      <c r="AR4" s="11" t="s">
        <v>154</v>
      </c>
      <c r="AS4" s="11" t="s">
        <v>156</v>
      </c>
      <c r="AT4" s="11" t="s">
        <v>219</v>
      </c>
      <c r="AU4" s="11" t="s">
        <v>160</v>
      </c>
      <c r="AV4" s="11" t="s">
        <v>162</v>
      </c>
      <c r="AW4" s="11" t="s">
        <v>222</v>
      </c>
      <c r="AX4" s="11">
        <v>7.935297133E9</v>
      </c>
      <c r="AY4" s="11" t="s">
        <v>224</v>
      </c>
      <c r="AZ4" s="11">
        <v>8.5845230207E10</v>
      </c>
      <c r="BA4" s="11" t="s">
        <v>226</v>
      </c>
      <c r="BB4" s="11" t="s">
        <v>227</v>
      </c>
    </row>
    <row r="5">
      <c r="A5" s="10">
        <v>187089.0</v>
      </c>
      <c r="B5" s="11" t="s">
        <v>35</v>
      </c>
      <c r="C5" s="11">
        <v>8.9686949505E10</v>
      </c>
      <c r="D5" s="11" t="s">
        <v>230</v>
      </c>
      <c r="E5" s="11" t="s">
        <v>41</v>
      </c>
      <c r="F5" s="11" t="s">
        <v>122</v>
      </c>
      <c r="G5" s="11" t="s">
        <v>232</v>
      </c>
      <c r="H5" s="13">
        <v>35132.0</v>
      </c>
      <c r="I5" s="10">
        <v>801.0</v>
      </c>
      <c r="J5" s="11" t="s">
        <v>128</v>
      </c>
      <c r="K5" s="11" t="s">
        <v>130</v>
      </c>
      <c r="L5" s="11" t="s">
        <v>131</v>
      </c>
      <c r="M5" s="10">
        <v>15.0</v>
      </c>
      <c r="N5" s="10">
        <v>801.0</v>
      </c>
      <c r="O5" s="10">
        <v>3921.0</v>
      </c>
      <c r="P5" s="11" t="s">
        <v>237</v>
      </c>
      <c r="Q5" s="11" t="s">
        <v>136</v>
      </c>
      <c r="R5" s="13">
        <v>44077.0</v>
      </c>
      <c r="S5" s="11" t="s">
        <v>137</v>
      </c>
      <c r="T5" s="14"/>
      <c r="U5" s="13">
        <v>46265.0</v>
      </c>
      <c r="W5" s="11" t="s">
        <v>143</v>
      </c>
      <c r="X5" s="11">
        <v>2.0200902E7</v>
      </c>
      <c r="Y5" s="11" t="s">
        <v>145</v>
      </c>
      <c r="Z5" s="10">
        <v>15.0</v>
      </c>
      <c r="AA5" s="10">
        <v>801.0</v>
      </c>
      <c r="AB5" s="14"/>
      <c r="AC5" s="14"/>
      <c r="AD5" s="11" t="s">
        <v>147</v>
      </c>
      <c r="AE5" s="11" t="s">
        <v>149</v>
      </c>
      <c r="AF5" s="14"/>
      <c r="AG5" s="13">
        <v>46167.0</v>
      </c>
      <c r="AH5" s="13">
        <v>46265.0</v>
      </c>
      <c r="AI5" s="14"/>
      <c r="AJ5" s="10">
        <v>11202.0</v>
      </c>
      <c r="AK5" s="14"/>
      <c r="AL5" s="14"/>
      <c r="AM5" s="11">
        <v>2.3048929493E10</v>
      </c>
      <c r="AN5" s="11">
        <v>7.86612418E8</v>
      </c>
      <c r="AO5" s="11">
        <v>7.26397177609E14</v>
      </c>
      <c r="AP5" s="11" t="s">
        <v>136</v>
      </c>
      <c r="AQ5" s="11" t="s">
        <v>153</v>
      </c>
      <c r="AR5" s="11" t="s">
        <v>154</v>
      </c>
      <c r="AS5" s="11" t="s">
        <v>156</v>
      </c>
      <c r="AT5" s="11" t="s">
        <v>219</v>
      </c>
      <c r="AU5" s="11" t="s">
        <v>160</v>
      </c>
      <c r="AV5" s="11" t="s">
        <v>162</v>
      </c>
      <c r="AW5" s="11" t="s">
        <v>254</v>
      </c>
      <c r="AX5" s="11">
        <v>5.600289308E9</v>
      </c>
      <c r="AY5" s="11" t="s">
        <v>257</v>
      </c>
      <c r="AZ5" s="11">
        <v>8.990008817E9</v>
      </c>
      <c r="BA5" s="11" t="s">
        <v>259</v>
      </c>
      <c r="BB5" s="11" t="s">
        <v>170</v>
      </c>
    </row>
    <row r="6">
      <c r="A6" s="10">
        <v>187090.0</v>
      </c>
      <c r="B6" s="11" t="s">
        <v>38</v>
      </c>
      <c r="C6" s="11">
        <v>8.2193339184E10</v>
      </c>
      <c r="D6" s="11" t="s">
        <v>262</v>
      </c>
      <c r="E6" s="11" t="s">
        <v>41</v>
      </c>
      <c r="F6" s="11" t="s">
        <v>265</v>
      </c>
      <c r="G6" s="11" t="s">
        <v>266</v>
      </c>
      <c r="H6" s="13">
        <v>35682.0</v>
      </c>
      <c r="I6" s="10">
        <v>930.0</v>
      </c>
      <c r="J6" s="11" t="s">
        <v>269</v>
      </c>
      <c r="K6" s="11" t="s">
        <v>130</v>
      </c>
      <c r="L6" s="11" t="s">
        <v>207</v>
      </c>
      <c r="M6" s="10">
        <v>26.0</v>
      </c>
      <c r="N6" s="10">
        <v>930.0</v>
      </c>
      <c r="O6" s="10">
        <v>5503.0</v>
      </c>
      <c r="P6" s="11" t="s">
        <v>271</v>
      </c>
      <c r="Q6" s="11" t="s">
        <v>136</v>
      </c>
      <c r="R6" s="13">
        <v>44753.0</v>
      </c>
      <c r="S6" s="11" t="s">
        <v>137</v>
      </c>
      <c r="T6" s="14"/>
      <c r="U6" s="13">
        <v>46265.0</v>
      </c>
      <c r="W6" s="11" t="s">
        <v>143</v>
      </c>
      <c r="X6" s="11">
        <v>2.0220703E7</v>
      </c>
      <c r="Y6" s="11" t="s">
        <v>145</v>
      </c>
      <c r="Z6" s="10">
        <v>27.0</v>
      </c>
      <c r="AA6" s="10">
        <v>957.0</v>
      </c>
      <c r="AB6" s="14"/>
      <c r="AC6" s="14"/>
      <c r="AD6" s="11" t="s">
        <v>147</v>
      </c>
      <c r="AE6" s="11" t="s">
        <v>149</v>
      </c>
      <c r="AF6" s="14"/>
      <c r="AG6" s="13">
        <v>46198.0</v>
      </c>
      <c r="AH6" s="13">
        <v>46265.0</v>
      </c>
      <c r="AI6" s="14"/>
      <c r="AJ6" s="10">
        <v>11091.0</v>
      </c>
      <c r="AK6" s="14"/>
      <c r="AL6" s="14"/>
      <c r="AM6" s="11">
        <v>2.3048929451E10</v>
      </c>
      <c r="AN6" s="11">
        <v>2.392202924E9</v>
      </c>
      <c r="AO6" s="11">
        <v>4.37589070831E14</v>
      </c>
      <c r="AP6" s="11" t="s">
        <v>136</v>
      </c>
      <c r="AQ6" s="11" t="s">
        <v>153</v>
      </c>
      <c r="AR6" s="11" t="s">
        <v>154</v>
      </c>
      <c r="AS6" s="11" t="s">
        <v>156</v>
      </c>
      <c r="AT6" s="11" t="s">
        <v>219</v>
      </c>
      <c r="AU6" s="11" t="s">
        <v>160</v>
      </c>
      <c r="AV6" s="11" t="s">
        <v>162</v>
      </c>
      <c r="AW6" s="11" t="s">
        <v>283</v>
      </c>
      <c r="AX6" s="11">
        <v>7.795175946E9</v>
      </c>
      <c r="AY6" s="14"/>
      <c r="AZ6" s="14"/>
      <c r="BA6" s="14"/>
      <c r="BB6" s="14"/>
    </row>
    <row r="7">
      <c r="A7" s="10">
        <v>187092.0</v>
      </c>
      <c r="B7" s="11" t="s">
        <v>40</v>
      </c>
      <c r="C7" s="11">
        <v>8.5849233099E10</v>
      </c>
      <c r="D7" s="11" t="s">
        <v>288</v>
      </c>
      <c r="E7" s="11" t="s">
        <v>176</v>
      </c>
      <c r="F7" s="11" t="s">
        <v>122</v>
      </c>
      <c r="G7" s="11" t="s">
        <v>291</v>
      </c>
      <c r="H7" s="13">
        <v>33737.0</v>
      </c>
      <c r="I7" s="10">
        <v>704.0</v>
      </c>
      <c r="J7" s="11" t="s">
        <v>128</v>
      </c>
      <c r="K7" s="11" t="s">
        <v>292</v>
      </c>
      <c r="L7" s="11" t="s">
        <v>207</v>
      </c>
      <c r="M7" s="10">
        <v>12.0</v>
      </c>
      <c r="N7" s="10">
        <v>704.0</v>
      </c>
      <c r="O7" s="10">
        <v>2256.0</v>
      </c>
      <c r="P7" s="11" t="s">
        <v>295</v>
      </c>
      <c r="Q7" s="11" t="s">
        <v>136</v>
      </c>
      <c r="R7" s="13">
        <v>44852.0</v>
      </c>
      <c r="S7" s="11" t="s">
        <v>137</v>
      </c>
      <c r="T7" s="14"/>
      <c r="U7" s="13">
        <v>46265.0</v>
      </c>
      <c r="V7" s="11" t="s">
        <v>296</v>
      </c>
      <c r="W7" s="11" t="s">
        <v>143</v>
      </c>
      <c r="X7" s="11">
        <v>2.0221006E7</v>
      </c>
      <c r="Y7" s="11" t="s">
        <v>145</v>
      </c>
      <c r="Z7" s="10">
        <v>11.0</v>
      </c>
      <c r="AA7" s="10">
        <v>697.0</v>
      </c>
      <c r="AB7" s="14"/>
      <c r="AC7" s="14"/>
      <c r="AD7" s="11" t="s">
        <v>147</v>
      </c>
      <c r="AE7" s="11" t="s">
        <v>149</v>
      </c>
      <c r="AF7" s="14"/>
      <c r="AG7" s="13">
        <v>46167.0</v>
      </c>
      <c r="AH7" s="13">
        <v>46265.0</v>
      </c>
      <c r="AI7" s="14"/>
      <c r="AJ7" s="10">
        <v>11354.0</v>
      </c>
      <c r="AK7" s="14"/>
      <c r="AL7" s="14"/>
      <c r="AM7" s="14"/>
      <c r="AN7" s="11">
        <v>4.37862701E8</v>
      </c>
      <c r="AO7" s="11">
        <v>6.14250264442E14</v>
      </c>
      <c r="AP7" s="11" t="s">
        <v>136</v>
      </c>
      <c r="AQ7" s="11" t="s">
        <v>153</v>
      </c>
      <c r="AR7" s="11" t="s">
        <v>154</v>
      </c>
      <c r="AS7" s="11" t="s">
        <v>156</v>
      </c>
      <c r="AT7" s="11" t="s">
        <v>219</v>
      </c>
      <c r="AU7" s="11" t="s">
        <v>160</v>
      </c>
      <c r="AV7" s="11" t="s">
        <v>162</v>
      </c>
      <c r="AW7" s="11" t="s">
        <v>306</v>
      </c>
      <c r="AX7" s="11">
        <v>5.910185235E9</v>
      </c>
      <c r="AY7" s="14"/>
      <c r="AZ7" s="14"/>
      <c r="BA7" s="14"/>
      <c r="BB7" s="14"/>
    </row>
    <row r="8">
      <c r="A8" s="10">
        <v>187093.0</v>
      </c>
      <c r="B8" s="11" t="s">
        <v>45</v>
      </c>
      <c r="C8" s="11">
        <v>8.578000844E10</v>
      </c>
      <c r="D8" s="11" t="s">
        <v>310</v>
      </c>
      <c r="E8" s="11" t="s">
        <v>176</v>
      </c>
      <c r="F8" s="11" t="s">
        <v>122</v>
      </c>
      <c r="G8" s="11" t="s">
        <v>314</v>
      </c>
      <c r="H8" s="13">
        <v>32778.0</v>
      </c>
      <c r="I8" s="10">
        <v>695.0</v>
      </c>
      <c r="J8" s="11" t="s">
        <v>128</v>
      </c>
      <c r="K8" s="11" t="s">
        <v>130</v>
      </c>
      <c r="L8" s="11" t="s">
        <v>207</v>
      </c>
      <c r="M8" s="10">
        <v>11.0</v>
      </c>
      <c r="N8" s="10">
        <v>695.0</v>
      </c>
      <c r="O8" s="10">
        <v>1966.0</v>
      </c>
      <c r="P8" s="11" t="s">
        <v>316</v>
      </c>
      <c r="Q8" s="11" t="s">
        <v>136</v>
      </c>
      <c r="R8" s="13">
        <v>44844.0</v>
      </c>
      <c r="S8" s="11" t="s">
        <v>137</v>
      </c>
      <c r="T8" s="14"/>
      <c r="U8" s="13">
        <v>46265.0</v>
      </c>
      <c r="W8" s="11" t="s">
        <v>143</v>
      </c>
      <c r="X8" s="11">
        <v>2.0221004E7</v>
      </c>
      <c r="Y8" s="11" t="s">
        <v>145</v>
      </c>
      <c r="Z8" s="10">
        <v>11.0</v>
      </c>
      <c r="AA8" s="10">
        <v>697.0</v>
      </c>
      <c r="AB8" s="14"/>
      <c r="AC8" s="14"/>
      <c r="AD8" s="11" t="s">
        <v>147</v>
      </c>
      <c r="AE8" s="11" t="s">
        <v>149</v>
      </c>
      <c r="AF8" s="14"/>
      <c r="AG8" s="13">
        <v>46167.0</v>
      </c>
      <c r="AH8" s="13">
        <v>46265.0</v>
      </c>
      <c r="AI8" s="14"/>
      <c r="AJ8" s="10">
        <v>11354.0</v>
      </c>
      <c r="AK8" s="14"/>
      <c r="AL8" s="14"/>
      <c r="AM8" s="11">
        <v>1.7000717391E10</v>
      </c>
      <c r="AN8" s="11">
        <v>3.73457902E8</v>
      </c>
      <c r="AO8" s="11">
        <v>9.84389981026E14</v>
      </c>
      <c r="AP8" s="11" t="s">
        <v>136</v>
      </c>
      <c r="AQ8" s="11" t="s">
        <v>153</v>
      </c>
      <c r="AR8" s="11" t="s">
        <v>154</v>
      </c>
      <c r="AS8" s="11" t="s">
        <v>156</v>
      </c>
      <c r="AT8" s="11" t="s">
        <v>219</v>
      </c>
      <c r="AU8" s="11" t="s">
        <v>160</v>
      </c>
      <c r="AV8" s="11" t="s">
        <v>162</v>
      </c>
      <c r="AW8" s="11" t="s">
        <v>328</v>
      </c>
      <c r="AX8" s="11">
        <v>6.840428964E9</v>
      </c>
      <c r="AY8" s="14"/>
      <c r="AZ8" s="14"/>
      <c r="BA8" s="14"/>
      <c r="BB8" s="14"/>
    </row>
    <row r="9">
      <c r="A9" s="10">
        <v>187095.0</v>
      </c>
      <c r="B9" s="11" t="s">
        <v>49</v>
      </c>
      <c r="C9" s="11">
        <v>8.7842322685E10</v>
      </c>
      <c r="D9" s="11" t="s">
        <v>329</v>
      </c>
      <c r="E9" s="11" t="s">
        <v>41</v>
      </c>
      <c r="F9" s="11" t="s">
        <v>122</v>
      </c>
      <c r="G9" s="11" t="s">
        <v>330</v>
      </c>
      <c r="H9" s="13">
        <v>37484.0</v>
      </c>
      <c r="I9" s="10">
        <v>702.0</v>
      </c>
      <c r="J9" s="11" t="s">
        <v>128</v>
      </c>
      <c r="K9" s="11" t="s">
        <v>333</v>
      </c>
      <c r="L9" s="11" t="s">
        <v>207</v>
      </c>
      <c r="M9" s="10">
        <v>12.0</v>
      </c>
      <c r="N9" s="10">
        <v>702.0</v>
      </c>
      <c r="O9" s="10">
        <v>2161.0</v>
      </c>
      <c r="P9" s="11" t="s">
        <v>338</v>
      </c>
      <c r="Q9" s="11" t="s">
        <v>136</v>
      </c>
      <c r="R9" s="13">
        <v>44858.0</v>
      </c>
      <c r="S9" s="11" t="s">
        <v>137</v>
      </c>
      <c r="T9" s="14"/>
      <c r="U9" s="13">
        <v>46265.0</v>
      </c>
      <c r="W9" s="11" t="s">
        <v>143</v>
      </c>
      <c r="X9" s="11">
        <v>2.0221008E7</v>
      </c>
      <c r="Y9" s="11" t="s">
        <v>145</v>
      </c>
      <c r="Z9" s="10">
        <v>12.0</v>
      </c>
      <c r="AA9" s="10">
        <v>702.0</v>
      </c>
      <c r="AB9" s="14"/>
      <c r="AC9" s="14"/>
      <c r="AD9" s="11" t="s">
        <v>147</v>
      </c>
      <c r="AE9" s="11" t="s">
        <v>149</v>
      </c>
      <c r="AF9" s="14"/>
      <c r="AG9" s="13">
        <v>46167.0</v>
      </c>
      <c r="AH9" s="13">
        <v>46265.0</v>
      </c>
      <c r="AI9" s="14"/>
      <c r="AJ9" s="10">
        <v>11049.0</v>
      </c>
      <c r="AK9" s="14"/>
      <c r="AL9" s="14"/>
      <c r="AM9" s="11">
        <v>2.3048929402E10</v>
      </c>
      <c r="AN9" s="11">
        <v>3.045761223E9</v>
      </c>
      <c r="AO9" s="11">
        <v>6.37892589443E14</v>
      </c>
      <c r="AP9" s="11" t="s">
        <v>136</v>
      </c>
      <c r="AQ9" s="11" t="s">
        <v>153</v>
      </c>
      <c r="AR9" s="11" t="s">
        <v>154</v>
      </c>
      <c r="AS9" s="11" t="s">
        <v>156</v>
      </c>
      <c r="AT9" s="11" t="s">
        <v>219</v>
      </c>
      <c r="AU9" s="11" t="s">
        <v>160</v>
      </c>
      <c r="AV9" s="11" t="s">
        <v>162</v>
      </c>
      <c r="AW9" s="11" t="s">
        <v>345</v>
      </c>
      <c r="AX9" s="11">
        <v>4.460703641E9</v>
      </c>
      <c r="AY9" s="14"/>
      <c r="AZ9" s="14"/>
      <c r="BA9" s="14"/>
      <c r="BB9" s="14"/>
    </row>
    <row r="10">
      <c r="A10" s="10">
        <v>187096.0</v>
      </c>
      <c r="B10" s="11" t="s">
        <v>52</v>
      </c>
      <c r="C10" s="11">
        <v>8.8985069845E10</v>
      </c>
      <c r="D10" s="11" t="s">
        <v>349</v>
      </c>
      <c r="E10" s="11" t="s">
        <v>41</v>
      </c>
      <c r="F10" s="11" t="s">
        <v>265</v>
      </c>
      <c r="G10" s="11" t="s">
        <v>350</v>
      </c>
      <c r="H10" s="13">
        <v>37458.0</v>
      </c>
      <c r="I10" s="10">
        <v>702.0</v>
      </c>
      <c r="J10" s="11" t="s">
        <v>128</v>
      </c>
      <c r="K10" s="11" t="s">
        <v>333</v>
      </c>
      <c r="L10" s="11" t="s">
        <v>207</v>
      </c>
      <c r="M10" s="10">
        <v>12.0</v>
      </c>
      <c r="N10" s="10">
        <v>702.0</v>
      </c>
      <c r="O10" s="10">
        <v>2187.0</v>
      </c>
      <c r="P10" s="11" t="s">
        <v>353</v>
      </c>
      <c r="Q10" s="11" t="s">
        <v>136</v>
      </c>
      <c r="R10" s="13">
        <v>44911.0</v>
      </c>
      <c r="S10" s="11" t="s">
        <v>137</v>
      </c>
      <c r="T10" s="14"/>
      <c r="U10" s="13">
        <v>46265.0</v>
      </c>
      <c r="W10" s="11" t="s">
        <v>143</v>
      </c>
      <c r="X10" s="11">
        <v>2.0221201E7</v>
      </c>
      <c r="Y10" s="11" t="s">
        <v>145</v>
      </c>
      <c r="Z10" s="10">
        <v>13.0</v>
      </c>
      <c r="AA10" s="10">
        <v>757.0</v>
      </c>
      <c r="AB10" s="14"/>
      <c r="AC10" s="14"/>
      <c r="AD10" s="11" t="s">
        <v>147</v>
      </c>
      <c r="AE10" s="11" t="s">
        <v>149</v>
      </c>
      <c r="AF10" s="14"/>
      <c r="AG10" s="13">
        <v>46198.0</v>
      </c>
      <c r="AH10" s="13">
        <v>46265.0</v>
      </c>
      <c r="AI10" s="14"/>
      <c r="AJ10" s="10">
        <v>11126.0</v>
      </c>
      <c r="AK10" s="14"/>
      <c r="AL10" s="14"/>
      <c r="AM10" s="11">
        <v>2.3048929386E10</v>
      </c>
      <c r="AN10" s="11">
        <v>1.198164565E9</v>
      </c>
      <c r="AO10" s="11">
        <v>6.23212982423E14</v>
      </c>
      <c r="AP10" s="11" t="s">
        <v>136</v>
      </c>
      <c r="AQ10" s="11" t="s">
        <v>153</v>
      </c>
      <c r="AR10" s="11" t="s">
        <v>154</v>
      </c>
      <c r="AS10" s="11" t="s">
        <v>156</v>
      </c>
      <c r="AT10" s="11" t="s">
        <v>219</v>
      </c>
      <c r="AU10" s="11" t="s">
        <v>160</v>
      </c>
      <c r="AV10" s="11" t="s">
        <v>162</v>
      </c>
      <c r="AW10" s="11" t="s">
        <v>359</v>
      </c>
      <c r="AX10" s="11">
        <v>2.801851268E9</v>
      </c>
      <c r="AY10" s="11" t="s">
        <v>362</v>
      </c>
      <c r="AZ10" s="11">
        <v>8.5759557515E10</v>
      </c>
      <c r="BA10" s="11" t="s">
        <v>363</v>
      </c>
      <c r="BB10" s="11" t="s">
        <v>198</v>
      </c>
    </row>
    <row r="11">
      <c r="A11" s="10">
        <v>187104.0</v>
      </c>
      <c r="B11" s="11" t="s">
        <v>53</v>
      </c>
      <c r="C11" s="11">
        <v>8.574834836E10</v>
      </c>
      <c r="D11" s="11" t="s">
        <v>364</v>
      </c>
      <c r="E11" s="11" t="s">
        <v>176</v>
      </c>
      <c r="F11" s="11" t="s">
        <v>265</v>
      </c>
      <c r="G11" s="11" t="s">
        <v>366</v>
      </c>
      <c r="H11" s="13">
        <v>34597.0</v>
      </c>
      <c r="I11" s="10">
        <v>794.0</v>
      </c>
      <c r="J11" s="11" t="s">
        <v>128</v>
      </c>
      <c r="K11" s="11" t="s">
        <v>333</v>
      </c>
      <c r="L11" s="11" t="s">
        <v>207</v>
      </c>
      <c r="M11" s="10">
        <v>15.0</v>
      </c>
      <c r="N11" s="10">
        <v>770.0</v>
      </c>
      <c r="O11" s="10">
        <v>3380.0</v>
      </c>
      <c r="P11" s="11" t="s">
        <v>371</v>
      </c>
      <c r="Q11" s="11" t="s">
        <v>136</v>
      </c>
      <c r="R11" s="13">
        <v>45147.0</v>
      </c>
      <c r="S11" s="11" t="s">
        <v>137</v>
      </c>
      <c r="T11" s="14"/>
      <c r="U11" s="13">
        <v>46265.0</v>
      </c>
      <c r="W11" s="11" t="s">
        <v>143</v>
      </c>
      <c r="X11" s="11">
        <v>2.0230804E7</v>
      </c>
      <c r="Y11" s="11" t="s">
        <v>145</v>
      </c>
      <c r="Z11" s="10">
        <v>15.0</v>
      </c>
      <c r="AA11" s="10">
        <v>801.0</v>
      </c>
      <c r="AB11" s="14"/>
      <c r="AC11" s="14"/>
      <c r="AD11" s="11" t="s">
        <v>147</v>
      </c>
      <c r="AE11" s="11" t="s">
        <v>149</v>
      </c>
      <c r="AF11" s="14"/>
      <c r="AG11" s="13">
        <v>46167.0</v>
      </c>
      <c r="AH11" s="13">
        <v>46265.0</v>
      </c>
      <c r="AI11" s="14"/>
      <c r="AJ11" s="10">
        <v>11194.0</v>
      </c>
      <c r="AK11" s="14"/>
      <c r="AL11" s="14"/>
      <c r="AM11" s="11">
        <v>2.1073634251E10</v>
      </c>
      <c r="AN11" s="11">
        <v>1.642981026E9</v>
      </c>
      <c r="AO11" s="11">
        <v>6.69091779655E14</v>
      </c>
      <c r="AP11" s="11" t="s">
        <v>136</v>
      </c>
      <c r="AQ11" s="11" t="s">
        <v>153</v>
      </c>
      <c r="AR11" s="11" t="s">
        <v>154</v>
      </c>
      <c r="AS11" s="11" t="s">
        <v>156</v>
      </c>
      <c r="AT11" s="11" t="s">
        <v>219</v>
      </c>
      <c r="AU11" s="11" t="s">
        <v>160</v>
      </c>
      <c r="AV11" s="11" t="s">
        <v>162</v>
      </c>
      <c r="AW11" s="11" t="s">
        <v>374</v>
      </c>
      <c r="AX11" s="11">
        <v>8.220741924E9</v>
      </c>
      <c r="AY11" s="14"/>
      <c r="AZ11" s="14"/>
      <c r="BA11" s="14"/>
      <c r="BB11" s="14"/>
    </row>
    <row r="12">
      <c r="A12" s="10">
        <v>187108.0</v>
      </c>
      <c r="B12" s="11" t="s">
        <v>55</v>
      </c>
      <c r="C12" s="11">
        <v>8.5753994944E10</v>
      </c>
      <c r="D12" s="11" t="s">
        <v>377</v>
      </c>
      <c r="E12" s="11" t="s">
        <v>41</v>
      </c>
      <c r="F12" s="11" t="s">
        <v>122</v>
      </c>
      <c r="G12" s="11" t="s">
        <v>379</v>
      </c>
      <c r="H12" s="13">
        <v>32011.0</v>
      </c>
      <c r="I12" s="10">
        <v>773.0</v>
      </c>
      <c r="J12" s="11" t="s">
        <v>128</v>
      </c>
      <c r="K12" s="11" t="s">
        <v>130</v>
      </c>
      <c r="L12" s="11" t="s">
        <v>207</v>
      </c>
      <c r="M12" s="10">
        <v>22.0</v>
      </c>
      <c r="N12" s="10">
        <v>891.0</v>
      </c>
      <c r="O12" s="10">
        <v>5056.0</v>
      </c>
      <c r="P12" s="11" t="s">
        <v>381</v>
      </c>
      <c r="Q12" s="11" t="s">
        <v>136</v>
      </c>
      <c r="R12" s="13">
        <v>45323.0</v>
      </c>
      <c r="S12" s="11" t="s">
        <v>137</v>
      </c>
      <c r="T12" s="14"/>
      <c r="U12" s="13">
        <v>46265.0</v>
      </c>
      <c r="W12" s="11" t="s">
        <v>143</v>
      </c>
      <c r="X12" s="11">
        <v>2.0240204E7</v>
      </c>
      <c r="Y12" s="11" t="s">
        <v>145</v>
      </c>
      <c r="Z12" s="10">
        <v>22.0</v>
      </c>
      <c r="AA12" s="10">
        <v>891.0</v>
      </c>
      <c r="AB12" s="14"/>
      <c r="AC12" s="14"/>
      <c r="AD12" s="11" t="s">
        <v>147</v>
      </c>
      <c r="AE12" s="11" t="s">
        <v>149</v>
      </c>
      <c r="AF12" s="14"/>
      <c r="AG12" s="13">
        <v>46228.0</v>
      </c>
      <c r="AH12" s="13">
        <v>46265.0</v>
      </c>
      <c r="AI12" s="14"/>
      <c r="AJ12" s="10">
        <v>11065.0</v>
      </c>
      <c r="AK12" s="14"/>
      <c r="AL12" s="14"/>
      <c r="AM12" s="11">
        <v>2.4087351821E10</v>
      </c>
      <c r="AN12" s="11">
        <v>3.107840848E9</v>
      </c>
      <c r="AO12" s="11">
        <v>6.09448345731E14</v>
      </c>
      <c r="AP12" s="11" t="s">
        <v>136</v>
      </c>
      <c r="AQ12" s="11" t="s">
        <v>153</v>
      </c>
      <c r="AR12" s="11" t="s">
        <v>154</v>
      </c>
      <c r="AS12" s="11" t="s">
        <v>156</v>
      </c>
      <c r="AT12" s="11" t="s">
        <v>219</v>
      </c>
      <c r="AU12" s="11" t="s">
        <v>160</v>
      </c>
      <c r="AV12" s="11" t="s">
        <v>162</v>
      </c>
      <c r="AW12" s="11" t="s">
        <v>387</v>
      </c>
      <c r="AX12" s="11">
        <v>8.275329891E9</v>
      </c>
      <c r="AY12" s="14"/>
      <c r="AZ12" s="14"/>
      <c r="BA12" s="14"/>
      <c r="BB12" s="14"/>
    </row>
    <row r="13">
      <c r="A13" s="10">
        <v>187109.0</v>
      </c>
      <c r="B13" s="11" t="s">
        <v>57</v>
      </c>
      <c r="C13" s="11">
        <v>8.5246946597E10</v>
      </c>
      <c r="D13" s="11" t="s">
        <v>389</v>
      </c>
      <c r="E13" s="11" t="s">
        <v>41</v>
      </c>
      <c r="F13" s="11" t="s">
        <v>122</v>
      </c>
      <c r="G13" s="11" t="s">
        <v>390</v>
      </c>
      <c r="H13" s="13">
        <v>34973.0</v>
      </c>
      <c r="I13" s="10">
        <v>899.0</v>
      </c>
      <c r="J13" s="11" t="s">
        <v>128</v>
      </c>
      <c r="K13" s="11" t="s">
        <v>392</v>
      </c>
      <c r="L13" s="11" t="s">
        <v>131</v>
      </c>
      <c r="M13" s="10">
        <v>23.0</v>
      </c>
      <c r="N13" s="10">
        <v>901.0</v>
      </c>
      <c r="O13" s="10">
        <v>5164.0</v>
      </c>
      <c r="P13" s="11" t="s">
        <v>394</v>
      </c>
      <c r="Q13" s="11" t="s">
        <v>136</v>
      </c>
      <c r="R13" s="13">
        <v>45327.0</v>
      </c>
      <c r="S13" s="11" t="s">
        <v>396</v>
      </c>
      <c r="T13" s="13">
        <v>46244.0</v>
      </c>
      <c r="U13" s="13">
        <v>46259.0</v>
      </c>
      <c r="V13" s="11" t="s">
        <v>397</v>
      </c>
      <c r="W13" s="14"/>
      <c r="X13" s="11">
        <v>2.0240206E7</v>
      </c>
      <c r="Y13" s="11" t="s">
        <v>145</v>
      </c>
      <c r="Z13" s="10">
        <v>23.0</v>
      </c>
      <c r="AA13" s="10">
        <v>901.0</v>
      </c>
      <c r="AB13" s="14"/>
      <c r="AC13" s="14"/>
      <c r="AD13" s="11" t="s">
        <v>147</v>
      </c>
      <c r="AE13" s="11" t="s">
        <v>149</v>
      </c>
      <c r="AF13" s="14"/>
      <c r="AG13" s="13">
        <v>46167.0</v>
      </c>
      <c r="AH13" s="13">
        <v>46258.0</v>
      </c>
      <c r="AI13" s="14"/>
      <c r="AJ13" s="10">
        <v>11114.0</v>
      </c>
      <c r="AK13" s="14"/>
      <c r="AL13" s="14"/>
      <c r="AM13" s="11">
        <v>2.2033920558E10</v>
      </c>
      <c r="AN13" s="11">
        <v>1.282675533E9</v>
      </c>
      <c r="AO13" s="11">
        <v>8.44473009722E14</v>
      </c>
      <c r="AP13" s="11" t="s">
        <v>136</v>
      </c>
      <c r="AQ13" s="11" t="s">
        <v>153</v>
      </c>
      <c r="AR13" s="11" t="s">
        <v>154</v>
      </c>
      <c r="AS13" s="11" t="s">
        <v>156</v>
      </c>
      <c r="AT13" s="11" t="s">
        <v>400</v>
      </c>
      <c r="AU13" s="11" t="s">
        <v>160</v>
      </c>
      <c r="AV13" s="11" t="s">
        <v>162</v>
      </c>
      <c r="AW13" s="11" t="s">
        <v>402</v>
      </c>
      <c r="AX13" s="11">
        <v>7.935355427E9</v>
      </c>
      <c r="AY13" s="14"/>
      <c r="AZ13" s="14"/>
      <c r="BA13" s="14"/>
      <c r="BB13" s="14"/>
    </row>
    <row r="14">
      <c r="A14" s="10">
        <v>187120.0</v>
      </c>
      <c r="B14" s="11" t="s">
        <v>59</v>
      </c>
      <c r="C14" s="11">
        <v>8.11522178E8</v>
      </c>
      <c r="D14" s="11" t="s">
        <v>404</v>
      </c>
      <c r="E14" s="11" t="s">
        <v>41</v>
      </c>
      <c r="F14" s="11" t="s">
        <v>122</v>
      </c>
      <c r="G14" s="11" t="s">
        <v>406</v>
      </c>
      <c r="H14" s="13">
        <v>36395.0</v>
      </c>
      <c r="I14" s="10">
        <v>744.0</v>
      </c>
      <c r="J14" s="11" t="s">
        <v>128</v>
      </c>
      <c r="K14" s="11" t="s">
        <v>130</v>
      </c>
      <c r="L14" s="11" t="s">
        <v>408</v>
      </c>
      <c r="M14" s="10">
        <v>21.0</v>
      </c>
      <c r="N14" s="10">
        <v>866.0</v>
      </c>
      <c r="O14" s="10">
        <v>4773.0</v>
      </c>
      <c r="P14" s="11" t="s">
        <v>409</v>
      </c>
      <c r="Q14" s="11" t="s">
        <v>136</v>
      </c>
      <c r="R14" s="13">
        <v>45546.0</v>
      </c>
      <c r="S14" s="11" t="s">
        <v>137</v>
      </c>
      <c r="T14" s="14"/>
      <c r="U14" s="13">
        <v>46265.0</v>
      </c>
      <c r="V14" s="11" t="s">
        <v>296</v>
      </c>
      <c r="W14" s="11" t="s">
        <v>143</v>
      </c>
      <c r="X14" s="11">
        <v>2.0240909E7</v>
      </c>
      <c r="Y14" s="11" t="s">
        <v>145</v>
      </c>
      <c r="Z14" s="10">
        <v>22.0</v>
      </c>
      <c r="AA14" s="10">
        <v>891.0</v>
      </c>
      <c r="AB14" s="14"/>
      <c r="AC14" s="14"/>
      <c r="AD14" s="11" t="s">
        <v>147</v>
      </c>
      <c r="AE14" s="11" t="s">
        <v>149</v>
      </c>
      <c r="AF14" s="14"/>
      <c r="AG14" s="13">
        <v>46198.0</v>
      </c>
      <c r="AH14" s="13">
        <v>46265.0</v>
      </c>
      <c r="AI14" s="14"/>
      <c r="AJ14" s="10">
        <v>11063.0</v>
      </c>
      <c r="AK14" s="14"/>
      <c r="AL14" s="14"/>
      <c r="AM14" s="11">
        <v>2.416094619E10</v>
      </c>
      <c r="AN14" s="11">
        <v>2.434254276E9</v>
      </c>
      <c r="AO14" s="11">
        <v>5.00765599713E14</v>
      </c>
      <c r="AP14" s="11" t="s">
        <v>136</v>
      </c>
      <c r="AQ14" s="11" t="s">
        <v>153</v>
      </c>
      <c r="AR14" s="11" t="s">
        <v>154</v>
      </c>
      <c r="AS14" s="11" t="s">
        <v>156</v>
      </c>
      <c r="AT14" s="11" t="s">
        <v>158</v>
      </c>
      <c r="AU14" s="11" t="s">
        <v>160</v>
      </c>
      <c r="AV14" s="11" t="s">
        <v>162</v>
      </c>
      <c r="AW14" s="11" t="s">
        <v>414</v>
      </c>
      <c r="AX14" s="11">
        <v>8.585226544E9</v>
      </c>
      <c r="AY14" s="14"/>
      <c r="AZ14" s="14"/>
      <c r="BA14" s="14"/>
      <c r="BB14" s="14"/>
    </row>
    <row r="15">
      <c r="A15" s="10">
        <v>187122.0</v>
      </c>
      <c r="B15" s="11" t="s">
        <v>62</v>
      </c>
      <c r="C15" s="11">
        <v>8.95338933809E11</v>
      </c>
      <c r="D15" s="11" t="s">
        <v>416</v>
      </c>
      <c r="E15" s="11" t="s">
        <v>41</v>
      </c>
      <c r="F15" s="11" t="s">
        <v>122</v>
      </c>
      <c r="G15" s="11" t="s">
        <v>418</v>
      </c>
      <c r="H15" s="13">
        <v>37993.0</v>
      </c>
      <c r="I15" s="10">
        <v>895.0</v>
      </c>
      <c r="J15" s="11" t="s">
        <v>419</v>
      </c>
      <c r="K15" s="11" t="s">
        <v>392</v>
      </c>
      <c r="L15" s="11" t="s">
        <v>207</v>
      </c>
      <c r="M15" s="10">
        <v>23.0</v>
      </c>
      <c r="N15" s="10">
        <v>895.0</v>
      </c>
      <c r="O15" s="10">
        <v>5079.0</v>
      </c>
      <c r="P15" s="11" t="s">
        <v>421</v>
      </c>
      <c r="Q15" s="11" t="s">
        <v>136</v>
      </c>
      <c r="R15" s="13">
        <v>45553.0</v>
      </c>
      <c r="S15" s="11" t="s">
        <v>137</v>
      </c>
      <c r="T15" s="14"/>
      <c r="U15" s="13">
        <v>46265.0</v>
      </c>
      <c r="V15" s="11" t="s">
        <v>296</v>
      </c>
      <c r="W15" s="14"/>
      <c r="X15" s="11">
        <v>2.0240912E7</v>
      </c>
      <c r="Y15" s="11" t="s">
        <v>145</v>
      </c>
      <c r="Z15" s="10">
        <v>23.0</v>
      </c>
      <c r="AA15" s="10">
        <v>901.0</v>
      </c>
      <c r="AB15" s="14"/>
      <c r="AC15" s="14"/>
      <c r="AD15" s="11" t="s">
        <v>147</v>
      </c>
      <c r="AE15" s="11" t="s">
        <v>149</v>
      </c>
      <c r="AF15" s="14"/>
      <c r="AG15" s="13">
        <v>46167.0</v>
      </c>
      <c r="AH15" s="13">
        <v>46265.0</v>
      </c>
      <c r="AI15" s="14"/>
      <c r="AJ15" s="10">
        <v>11115.0</v>
      </c>
      <c r="AK15" s="14"/>
      <c r="AL15" s="14"/>
      <c r="AM15" s="11">
        <v>2.4160946208E10</v>
      </c>
      <c r="AN15" s="14"/>
      <c r="AO15" s="11">
        <v>2.00081255728E14</v>
      </c>
      <c r="AP15" s="11" t="s">
        <v>136</v>
      </c>
      <c r="AQ15" s="11" t="s">
        <v>153</v>
      </c>
      <c r="AR15" s="11" t="s">
        <v>154</v>
      </c>
      <c r="AS15" s="11" t="s">
        <v>156</v>
      </c>
      <c r="AT15" s="11" t="s">
        <v>219</v>
      </c>
      <c r="AU15" s="11" t="s">
        <v>160</v>
      </c>
      <c r="AV15" s="11" t="s">
        <v>162</v>
      </c>
      <c r="AW15" s="11" t="s">
        <v>425</v>
      </c>
      <c r="AX15" s="11">
        <v>8.145371186E9</v>
      </c>
      <c r="AY15" s="11" t="s">
        <v>426</v>
      </c>
      <c r="AZ15" s="11">
        <v>8.5350032333E10</v>
      </c>
      <c r="BA15" s="11" t="s">
        <v>427</v>
      </c>
      <c r="BB15" s="11" t="s">
        <v>227</v>
      </c>
    </row>
    <row r="16">
      <c r="A16" s="10">
        <v>187123.0</v>
      </c>
      <c r="B16" s="11" t="s">
        <v>64</v>
      </c>
      <c r="C16" s="11">
        <v>8.3872915839E10</v>
      </c>
      <c r="D16" s="11" t="s">
        <v>429</v>
      </c>
      <c r="E16" s="11" t="s">
        <v>41</v>
      </c>
      <c r="F16" s="11" t="s">
        <v>122</v>
      </c>
      <c r="G16" s="11" t="s">
        <v>431</v>
      </c>
      <c r="H16" s="13">
        <v>39056.0</v>
      </c>
      <c r="I16" s="14"/>
      <c r="J16" s="11" t="s">
        <v>128</v>
      </c>
      <c r="K16" s="14"/>
      <c r="L16" s="11" t="s">
        <v>207</v>
      </c>
      <c r="M16" s="10">
        <v>6.0</v>
      </c>
      <c r="N16" s="10">
        <v>642.0</v>
      </c>
      <c r="O16" s="10">
        <v>730.0</v>
      </c>
      <c r="P16" s="11" t="s">
        <v>434</v>
      </c>
      <c r="Q16" s="11" t="s">
        <v>136</v>
      </c>
      <c r="R16" s="13">
        <v>45567.0</v>
      </c>
      <c r="S16" s="11" t="s">
        <v>137</v>
      </c>
      <c r="T16" s="14"/>
      <c r="U16" s="13">
        <v>46265.0</v>
      </c>
      <c r="W16" s="11" t="s">
        <v>143</v>
      </c>
      <c r="X16" s="11">
        <v>2.0241005E7</v>
      </c>
      <c r="Y16" s="11" t="s">
        <v>145</v>
      </c>
      <c r="Z16" s="10">
        <v>6.0</v>
      </c>
      <c r="AA16" s="10">
        <v>649.0</v>
      </c>
      <c r="AB16" s="14"/>
      <c r="AC16" s="14"/>
      <c r="AD16" s="11" t="s">
        <v>147</v>
      </c>
      <c r="AE16" s="11" t="s">
        <v>149</v>
      </c>
      <c r="AF16" s="14"/>
      <c r="AG16" s="13">
        <v>46167.0</v>
      </c>
      <c r="AH16" s="13">
        <v>46265.0</v>
      </c>
      <c r="AI16" s="14"/>
      <c r="AJ16" s="10">
        <v>11107.0</v>
      </c>
      <c r="AK16" s="14"/>
      <c r="AL16" s="14"/>
      <c r="AM16" s="11">
        <v>2.4160946232E10</v>
      </c>
      <c r="AN16" s="14"/>
      <c r="AO16" s="14"/>
      <c r="AP16" s="11" t="s">
        <v>136</v>
      </c>
      <c r="AQ16" s="11" t="s">
        <v>153</v>
      </c>
      <c r="AR16" s="11" t="s">
        <v>154</v>
      </c>
      <c r="AS16" s="11" t="s">
        <v>156</v>
      </c>
      <c r="AT16" s="11" t="s">
        <v>219</v>
      </c>
      <c r="AU16" s="11" t="s">
        <v>160</v>
      </c>
      <c r="AV16" s="11" t="s">
        <v>162</v>
      </c>
      <c r="AW16" s="11" t="s">
        <v>438</v>
      </c>
      <c r="AX16" s="11">
        <v>8.435689139E9</v>
      </c>
      <c r="AY16" s="14"/>
      <c r="AZ16" s="14"/>
      <c r="BA16" s="14"/>
      <c r="BB16" s="14"/>
    </row>
    <row r="17">
      <c r="A17" s="10">
        <v>187126.0</v>
      </c>
      <c r="B17" s="11" t="s">
        <v>67</v>
      </c>
      <c r="C17" s="11">
        <v>8.9659753361E10</v>
      </c>
      <c r="D17" s="11" t="s">
        <v>440</v>
      </c>
      <c r="E17" s="11" t="s">
        <v>41</v>
      </c>
      <c r="F17" s="11" t="s">
        <v>122</v>
      </c>
      <c r="G17" s="11" t="s">
        <v>442</v>
      </c>
      <c r="H17" s="13">
        <v>36483.0</v>
      </c>
      <c r="I17" s="10">
        <v>701.0</v>
      </c>
      <c r="J17" s="11" t="s">
        <v>128</v>
      </c>
      <c r="K17" s="11" t="s">
        <v>130</v>
      </c>
      <c r="L17" s="11" t="s">
        <v>207</v>
      </c>
      <c r="M17" s="10">
        <v>12.0</v>
      </c>
      <c r="N17" s="10">
        <v>701.0</v>
      </c>
      <c r="O17" s="10">
        <v>2149.0</v>
      </c>
      <c r="P17" s="11" t="s">
        <v>444</v>
      </c>
      <c r="Q17" s="11" t="s">
        <v>136</v>
      </c>
      <c r="R17" s="13">
        <v>45576.0</v>
      </c>
      <c r="S17" s="11" t="s">
        <v>137</v>
      </c>
      <c r="T17" s="14"/>
      <c r="U17" s="13">
        <v>46265.0</v>
      </c>
      <c r="W17" s="11" t="s">
        <v>143</v>
      </c>
      <c r="X17" s="11">
        <v>2.0241011E7</v>
      </c>
      <c r="Y17" s="11" t="s">
        <v>145</v>
      </c>
      <c r="Z17" s="10">
        <v>12.0</v>
      </c>
      <c r="AA17" s="10">
        <v>718.0</v>
      </c>
      <c r="AB17" s="14"/>
      <c r="AC17" s="14"/>
      <c r="AD17" s="11" t="s">
        <v>147</v>
      </c>
      <c r="AE17" s="11" t="s">
        <v>149</v>
      </c>
      <c r="AF17" s="14"/>
      <c r="AG17" s="13">
        <v>46167.0</v>
      </c>
      <c r="AH17" s="13">
        <v>46265.0</v>
      </c>
      <c r="AI17" s="14"/>
      <c r="AJ17" s="10">
        <v>11055.0</v>
      </c>
      <c r="AK17" s="14"/>
      <c r="AL17" s="14"/>
      <c r="AM17" s="11">
        <v>2.4134943919E10</v>
      </c>
      <c r="AN17" s="14"/>
      <c r="AO17" s="11">
        <v>9.37047769444E14</v>
      </c>
      <c r="AP17" s="11" t="s">
        <v>136</v>
      </c>
      <c r="AQ17" s="11" t="s">
        <v>153</v>
      </c>
      <c r="AR17" s="11" t="s">
        <v>154</v>
      </c>
      <c r="AS17" s="11" t="s">
        <v>156</v>
      </c>
      <c r="AT17" s="11" t="s">
        <v>219</v>
      </c>
      <c r="AU17" s="11" t="s">
        <v>160</v>
      </c>
      <c r="AV17" s="11" t="s">
        <v>162</v>
      </c>
      <c r="AW17" s="11" t="s">
        <v>449</v>
      </c>
      <c r="AX17" s="11">
        <v>3.760618135E9</v>
      </c>
      <c r="AY17" s="11" t="s">
        <v>450</v>
      </c>
      <c r="AZ17" s="11">
        <v>8.9514887715E10</v>
      </c>
      <c r="BA17" s="11" t="s">
        <v>451</v>
      </c>
      <c r="BB17" s="11" t="s">
        <v>198</v>
      </c>
    </row>
    <row r="18">
      <c r="A18" s="10">
        <v>187132.0</v>
      </c>
      <c r="B18" s="11" t="s">
        <v>70</v>
      </c>
      <c r="C18" s="11">
        <v>8.2253031413E10</v>
      </c>
      <c r="D18" s="11" t="s">
        <v>453</v>
      </c>
      <c r="E18" s="11" t="s">
        <v>41</v>
      </c>
      <c r="F18" s="11" t="s">
        <v>122</v>
      </c>
      <c r="G18" s="11" t="s">
        <v>454</v>
      </c>
      <c r="H18" s="13">
        <v>34274.0</v>
      </c>
      <c r="I18" s="14"/>
      <c r="J18" s="11" t="s">
        <v>128</v>
      </c>
      <c r="K18" s="11" t="s">
        <v>333</v>
      </c>
      <c r="L18" s="11" t="s">
        <v>131</v>
      </c>
      <c r="M18" s="10">
        <v>22.0</v>
      </c>
      <c r="N18" s="10">
        <v>888.0</v>
      </c>
      <c r="O18" s="10">
        <v>3169.0</v>
      </c>
      <c r="P18" s="11" t="s">
        <v>457</v>
      </c>
      <c r="Q18" s="11" t="s">
        <v>136</v>
      </c>
      <c r="R18" s="13">
        <v>45627.0</v>
      </c>
      <c r="S18" s="11" t="s">
        <v>137</v>
      </c>
      <c r="T18" s="14"/>
      <c r="U18" s="13">
        <v>46265.0</v>
      </c>
      <c r="W18" s="11" t="s">
        <v>143</v>
      </c>
      <c r="X18" s="11">
        <v>2.0241202E7</v>
      </c>
      <c r="Y18" s="11" t="s">
        <v>145</v>
      </c>
      <c r="Z18" s="10">
        <v>22.0</v>
      </c>
      <c r="AA18" s="10">
        <v>891.0</v>
      </c>
      <c r="AB18" s="14"/>
      <c r="AC18" s="14"/>
      <c r="AD18" s="11" t="s">
        <v>147</v>
      </c>
      <c r="AE18" s="11" t="s">
        <v>149</v>
      </c>
      <c r="AF18" s="14"/>
      <c r="AG18" s="13">
        <v>46167.0</v>
      </c>
      <c r="AH18" s="13">
        <v>46265.0</v>
      </c>
      <c r="AI18" s="14"/>
      <c r="AJ18" s="10">
        <v>11064.0</v>
      </c>
      <c r="AK18" s="14"/>
      <c r="AL18" s="14"/>
      <c r="AM18" s="11">
        <v>2.421751862E10</v>
      </c>
      <c r="AN18" s="14"/>
      <c r="AO18" s="11">
        <v>1.47219026735E14</v>
      </c>
      <c r="AP18" s="11" t="s">
        <v>136</v>
      </c>
      <c r="AQ18" s="11" t="s">
        <v>153</v>
      </c>
      <c r="AR18" s="11" t="s">
        <v>154</v>
      </c>
      <c r="AS18" s="11" t="s">
        <v>156</v>
      </c>
      <c r="AT18" s="11" t="s">
        <v>219</v>
      </c>
      <c r="AU18" s="11" t="s">
        <v>160</v>
      </c>
      <c r="AV18" s="11" t="s">
        <v>162</v>
      </c>
      <c r="AW18" s="11" t="s">
        <v>462</v>
      </c>
      <c r="AX18" s="11">
        <v>8.695108539E9</v>
      </c>
      <c r="AY18" s="11" t="s">
        <v>463</v>
      </c>
      <c r="AZ18" s="11">
        <v>8.125450053E9</v>
      </c>
      <c r="BA18" s="11" t="s">
        <v>464</v>
      </c>
      <c r="BB18" s="11" t="s">
        <v>170</v>
      </c>
    </row>
    <row r="19">
      <c r="A19" s="10">
        <v>187135.0</v>
      </c>
      <c r="B19" s="11" t="s">
        <v>74</v>
      </c>
      <c r="C19" s="11">
        <v>8.2358812078E10</v>
      </c>
      <c r="D19" s="11" t="s">
        <v>466</v>
      </c>
      <c r="E19" s="11" t="s">
        <v>41</v>
      </c>
      <c r="F19" s="11" t="s">
        <v>122</v>
      </c>
      <c r="G19" s="11" t="s">
        <v>467</v>
      </c>
      <c r="H19" s="13">
        <v>37477.0</v>
      </c>
      <c r="I19" s="10">
        <v>799.0</v>
      </c>
      <c r="J19" s="11" t="s">
        <v>128</v>
      </c>
      <c r="K19" s="11" t="s">
        <v>392</v>
      </c>
      <c r="L19" s="11" t="s">
        <v>131</v>
      </c>
      <c r="M19" s="10">
        <v>23.0</v>
      </c>
      <c r="N19" s="10">
        <v>893.0</v>
      </c>
      <c r="O19" s="10">
        <v>5067.0</v>
      </c>
      <c r="P19" s="11" t="s">
        <v>469</v>
      </c>
      <c r="Q19" s="11" t="s">
        <v>136</v>
      </c>
      <c r="R19" s="13">
        <v>45647.0</v>
      </c>
      <c r="S19" s="11" t="s">
        <v>137</v>
      </c>
      <c r="T19" s="14"/>
      <c r="U19" s="13">
        <v>46265.0</v>
      </c>
      <c r="W19" s="11" t="s">
        <v>143</v>
      </c>
      <c r="X19" s="11">
        <v>2.0241218E7</v>
      </c>
      <c r="Y19" s="11" t="s">
        <v>145</v>
      </c>
      <c r="Z19" s="10">
        <v>23.0</v>
      </c>
      <c r="AA19" s="10">
        <v>901.0</v>
      </c>
      <c r="AB19" s="14"/>
      <c r="AC19" s="14"/>
      <c r="AD19" s="11" t="s">
        <v>147</v>
      </c>
      <c r="AE19" s="11" t="s">
        <v>149</v>
      </c>
      <c r="AF19" s="14"/>
      <c r="AG19" s="13">
        <v>46198.0</v>
      </c>
      <c r="AH19" s="13">
        <v>46265.0</v>
      </c>
      <c r="AI19" s="14"/>
      <c r="AJ19" s="10">
        <v>11117.0</v>
      </c>
      <c r="AK19" s="14"/>
      <c r="AL19" s="14"/>
      <c r="AM19" s="11">
        <v>2.4217518612E10</v>
      </c>
      <c r="AN19" s="11">
        <v>2.288253497E9</v>
      </c>
      <c r="AO19" s="11">
        <v>6.18137277726E14</v>
      </c>
      <c r="AP19" s="11" t="s">
        <v>136</v>
      </c>
      <c r="AQ19" s="11" t="s">
        <v>153</v>
      </c>
      <c r="AR19" s="11" t="s">
        <v>154</v>
      </c>
      <c r="AS19" s="11" t="s">
        <v>156</v>
      </c>
      <c r="AT19" s="11" t="s">
        <v>219</v>
      </c>
      <c r="AU19" s="11" t="s">
        <v>160</v>
      </c>
      <c r="AV19" s="11" t="s">
        <v>162</v>
      </c>
      <c r="AW19" s="11" t="s">
        <v>474</v>
      </c>
      <c r="AX19" s="11">
        <v>7.815831241E9</v>
      </c>
      <c r="AY19" s="14"/>
      <c r="AZ19" s="14"/>
      <c r="BA19" s="14"/>
      <c r="BB19" s="14"/>
    </row>
    <row r="20">
      <c r="A20" s="10">
        <v>187138.0</v>
      </c>
      <c r="B20" s="11" t="s">
        <v>77</v>
      </c>
      <c r="C20" s="11">
        <v>8.95608199789E11</v>
      </c>
      <c r="D20" s="11" t="s">
        <v>477</v>
      </c>
      <c r="E20" s="11" t="s">
        <v>41</v>
      </c>
      <c r="F20" s="11" t="s">
        <v>122</v>
      </c>
      <c r="G20" s="11" t="s">
        <v>479</v>
      </c>
      <c r="H20" s="13">
        <v>34822.0</v>
      </c>
      <c r="I20" s="10">
        <v>891.0</v>
      </c>
      <c r="J20" s="11" t="s">
        <v>128</v>
      </c>
      <c r="K20" s="11" t="s">
        <v>292</v>
      </c>
      <c r="L20" s="11" t="s">
        <v>207</v>
      </c>
      <c r="M20" s="10">
        <v>22.0</v>
      </c>
      <c r="N20" s="10">
        <v>891.0</v>
      </c>
      <c r="O20" s="10">
        <v>5054.0</v>
      </c>
      <c r="P20" s="11" t="s">
        <v>480</v>
      </c>
      <c r="Q20" s="11" t="s">
        <v>136</v>
      </c>
      <c r="R20" s="13">
        <v>45685.0</v>
      </c>
      <c r="S20" s="11" t="s">
        <v>137</v>
      </c>
      <c r="T20" s="14"/>
      <c r="U20" s="13">
        <v>46265.0</v>
      </c>
      <c r="V20" s="11" t="s">
        <v>296</v>
      </c>
      <c r="W20" s="11" t="s">
        <v>143</v>
      </c>
      <c r="X20" s="11">
        <v>2.025012E7</v>
      </c>
      <c r="Y20" s="11" t="s">
        <v>145</v>
      </c>
      <c r="Z20" s="10">
        <v>22.0</v>
      </c>
      <c r="AA20" s="10">
        <v>891.0</v>
      </c>
      <c r="AB20" s="14"/>
      <c r="AC20" s="14"/>
      <c r="AD20" s="11" t="s">
        <v>147</v>
      </c>
      <c r="AE20" s="11" t="s">
        <v>149</v>
      </c>
      <c r="AF20" s="14"/>
      <c r="AG20" s="13">
        <v>45901.0</v>
      </c>
      <c r="AH20" s="13">
        <v>46265.0</v>
      </c>
      <c r="AI20" s="14"/>
      <c r="AJ20" s="10">
        <v>11066.0</v>
      </c>
      <c r="AK20" s="14"/>
      <c r="AL20" s="14"/>
      <c r="AM20" s="14"/>
      <c r="AN20" s="14"/>
      <c r="AO20" s="11">
        <v>9.10303221736E14</v>
      </c>
      <c r="AP20" s="11" t="s">
        <v>136</v>
      </c>
      <c r="AQ20" s="11" t="s">
        <v>153</v>
      </c>
      <c r="AR20" s="11" t="s">
        <v>154</v>
      </c>
      <c r="AS20" s="11" t="s">
        <v>156</v>
      </c>
      <c r="AT20" s="11" t="s">
        <v>219</v>
      </c>
      <c r="AU20" s="11" t="s">
        <v>160</v>
      </c>
      <c r="AV20" s="11" t="s">
        <v>162</v>
      </c>
      <c r="AW20" s="11" t="s">
        <v>485</v>
      </c>
      <c r="AX20" s="11">
        <v>7.820819785E9</v>
      </c>
      <c r="AY20" s="11" t="s">
        <v>486</v>
      </c>
      <c r="AZ20" s="11">
        <v>8.1348153855E10</v>
      </c>
      <c r="BA20" s="11" t="s">
        <v>487</v>
      </c>
      <c r="BB20" s="11" t="s">
        <v>488</v>
      </c>
    </row>
    <row r="21">
      <c r="A21" s="10">
        <v>187144.0</v>
      </c>
      <c r="B21" s="11" t="s">
        <v>81</v>
      </c>
      <c r="C21" s="11">
        <v>8.5725663034E10</v>
      </c>
      <c r="D21" s="11" t="s">
        <v>490</v>
      </c>
      <c r="E21" s="11" t="s">
        <v>41</v>
      </c>
      <c r="F21" s="11" t="s">
        <v>122</v>
      </c>
      <c r="G21" s="11" t="s">
        <v>491</v>
      </c>
      <c r="H21" s="13">
        <v>36788.0</v>
      </c>
      <c r="I21" s="10">
        <v>755.0</v>
      </c>
      <c r="J21" s="11" t="s">
        <v>128</v>
      </c>
      <c r="K21" s="11" t="s">
        <v>392</v>
      </c>
      <c r="L21" s="11" t="s">
        <v>207</v>
      </c>
      <c r="M21" s="10">
        <v>13.0</v>
      </c>
      <c r="N21" s="10">
        <v>755.0</v>
      </c>
      <c r="O21" s="10">
        <v>3179.0</v>
      </c>
      <c r="P21" s="11" t="s">
        <v>493</v>
      </c>
      <c r="Q21" s="11" t="s">
        <v>136</v>
      </c>
      <c r="R21" s="13">
        <v>45685.0</v>
      </c>
      <c r="S21" s="11" t="s">
        <v>137</v>
      </c>
      <c r="T21" s="14"/>
      <c r="U21" s="13">
        <v>46265.0</v>
      </c>
      <c r="W21" s="11" t="s">
        <v>143</v>
      </c>
      <c r="X21" s="11">
        <v>2.0250121E7</v>
      </c>
      <c r="Y21" s="11" t="s">
        <v>145</v>
      </c>
      <c r="Z21" s="10">
        <v>13.0</v>
      </c>
      <c r="AA21" s="10">
        <v>757.0</v>
      </c>
      <c r="AB21" s="14"/>
      <c r="AC21" s="14"/>
      <c r="AD21" s="11" t="s">
        <v>147</v>
      </c>
      <c r="AE21" s="11" t="s">
        <v>149</v>
      </c>
      <c r="AF21" s="14"/>
      <c r="AG21" s="13">
        <v>46198.0</v>
      </c>
      <c r="AH21" s="13">
        <v>46265.0</v>
      </c>
      <c r="AI21" s="14"/>
      <c r="AJ21" s="10">
        <v>11145.0</v>
      </c>
      <c r="AK21" s="14"/>
      <c r="AL21" s="14"/>
      <c r="AM21" s="14"/>
      <c r="AN21" s="11">
        <v>1.692987175E9</v>
      </c>
      <c r="AO21" s="11">
        <v>5.08108073526E14</v>
      </c>
      <c r="AP21" s="11" t="s">
        <v>136</v>
      </c>
      <c r="AQ21" s="11" t="s">
        <v>153</v>
      </c>
      <c r="AR21" s="11" t="s">
        <v>154</v>
      </c>
      <c r="AS21" s="11" t="s">
        <v>156</v>
      </c>
      <c r="AT21" s="11" t="s">
        <v>219</v>
      </c>
      <c r="AU21" s="11" t="s">
        <v>160</v>
      </c>
      <c r="AV21" s="11" t="s">
        <v>162</v>
      </c>
      <c r="AW21" s="11" t="s">
        <v>498</v>
      </c>
      <c r="AX21" s="11">
        <v>1.530616408E9</v>
      </c>
      <c r="AY21" s="14"/>
      <c r="AZ21" s="14"/>
      <c r="BA21" s="14"/>
      <c r="BB21" s="14"/>
    </row>
    <row r="22">
      <c r="A22" s="10">
        <v>187145.0</v>
      </c>
      <c r="B22" s="11" t="s">
        <v>83</v>
      </c>
      <c r="C22" s="11">
        <v>8.5727351515E10</v>
      </c>
      <c r="D22" s="11" t="s">
        <v>500</v>
      </c>
      <c r="E22" s="11" t="s">
        <v>41</v>
      </c>
      <c r="F22" s="11" t="s">
        <v>122</v>
      </c>
      <c r="G22" s="11" t="s">
        <v>502</v>
      </c>
      <c r="H22" s="13">
        <v>33714.0</v>
      </c>
      <c r="I22" s="10">
        <v>757.0</v>
      </c>
      <c r="J22" s="11" t="s">
        <v>128</v>
      </c>
      <c r="K22" s="14"/>
      <c r="L22" s="11" t="s">
        <v>408</v>
      </c>
      <c r="M22" s="10">
        <v>13.0</v>
      </c>
      <c r="N22" s="10">
        <v>746.0</v>
      </c>
      <c r="O22" s="10">
        <v>3039.0</v>
      </c>
      <c r="P22" s="11" t="s">
        <v>504</v>
      </c>
      <c r="Q22" s="11" t="s">
        <v>136</v>
      </c>
      <c r="R22" s="13">
        <v>45691.0</v>
      </c>
      <c r="S22" s="11" t="s">
        <v>137</v>
      </c>
      <c r="T22" s="14"/>
      <c r="U22" s="13">
        <v>46265.0</v>
      </c>
      <c r="W22" s="11" t="s">
        <v>143</v>
      </c>
      <c r="X22" s="11">
        <v>2.0250203E7</v>
      </c>
      <c r="Y22" s="11" t="s">
        <v>145</v>
      </c>
      <c r="Z22" s="10">
        <v>13.0</v>
      </c>
      <c r="AA22" s="10">
        <v>757.0</v>
      </c>
      <c r="AB22" s="14"/>
      <c r="AC22" s="14"/>
      <c r="AD22" s="11" t="s">
        <v>147</v>
      </c>
      <c r="AE22" s="11" t="s">
        <v>149</v>
      </c>
      <c r="AF22" s="14"/>
      <c r="AG22" s="13">
        <v>46167.0</v>
      </c>
      <c r="AH22" s="13">
        <v>46265.0</v>
      </c>
      <c r="AI22" s="14"/>
      <c r="AJ22" s="10">
        <v>11128.0</v>
      </c>
      <c r="AK22" s="14"/>
      <c r="AL22" s="14"/>
      <c r="AM22" s="11">
        <v>1.6004816571E10</v>
      </c>
      <c r="AN22" s="11">
        <v>6.03512278E8</v>
      </c>
      <c r="AO22" s="11">
        <v>8.18964009505E14</v>
      </c>
      <c r="AP22" s="11" t="s">
        <v>136</v>
      </c>
      <c r="AQ22" s="11" t="s">
        <v>153</v>
      </c>
      <c r="AR22" s="11" t="s">
        <v>154</v>
      </c>
      <c r="AS22" s="11" t="s">
        <v>156</v>
      </c>
      <c r="AT22" s="11" t="s">
        <v>219</v>
      </c>
      <c r="AU22" s="11" t="s">
        <v>160</v>
      </c>
      <c r="AV22" s="11" t="s">
        <v>162</v>
      </c>
      <c r="AW22" s="11" t="s">
        <v>510</v>
      </c>
      <c r="AX22" s="11">
        <v>3.20104148E9</v>
      </c>
      <c r="AY22" s="14"/>
      <c r="AZ22" s="14"/>
      <c r="BA22" s="14"/>
      <c r="BB22" s="14"/>
    </row>
    <row r="23">
      <c r="A23" s="10">
        <v>187150.0</v>
      </c>
      <c r="B23" s="11" t="s">
        <v>85</v>
      </c>
      <c r="C23" s="11">
        <v>8.7851843056E10</v>
      </c>
      <c r="D23" s="11" t="s">
        <v>512</v>
      </c>
      <c r="E23" s="11" t="s">
        <v>41</v>
      </c>
      <c r="F23" s="11" t="s">
        <v>265</v>
      </c>
      <c r="G23" s="11" t="s">
        <v>513</v>
      </c>
      <c r="H23" s="13">
        <v>34895.0</v>
      </c>
      <c r="I23" s="10">
        <v>693.0</v>
      </c>
      <c r="J23" s="11" t="s">
        <v>128</v>
      </c>
      <c r="K23" s="11" t="s">
        <v>130</v>
      </c>
      <c r="L23" s="11" t="s">
        <v>207</v>
      </c>
      <c r="M23" s="10">
        <v>11.0</v>
      </c>
      <c r="N23" s="10">
        <v>693.0</v>
      </c>
      <c r="O23" s="10">
        <v>1994.0</v>
      </c>
      <c r="P23" s="11" t="s">
        <v>517</v>
      </c>
      <c r="Q23" s="11" t="s">
        <v>136</v>
      </c>
      <c r="R23" s="13">
        <v>45712.0</v>
      </c>
      <c r="S23" s="11" t="s">
        <v>137</v>
      </c>
      <c r="T23" s="14"/>
      <c r="U23" s="13">
        <v>46265.0</v>
      </c>
      <c r="W23" s="11" t="s">
        <v>143</v>
      </c>
      <c r="X23" s="11">
        <v>2.0250223E7</v>
      </c>
      <c r="Y23" s="11" t="s">
        <v>145</v>
      </c>
      <c r="Z23" s="10">
        <v>11.0</v>
      </c>
      <c r="AA23" s="10">
        <v>697.0</v>
      </c>
      <c r="AB23" s="14"/>
      <c r="AC23" s="14"/>
      <c r="AD23" s="11" t="s">
        <v>147</v>
      </c>
      <c r="AE23" s="11" t="s">
        <v>149</v>
      </c>
      <c r="AF23" s="14"/>
      <c r="AG23" s="13">
        <v>46167.0</v>
      </c>
      <c r="AH23" s="13">
        <v>46265.0</v>
      </c>
      <c r="AI23" s="14"/>
      <c r="AJ23" s="10">
        <v>11075.0</v>
      </c>
      <c r="AK23" s="14"/>
      <c r="AL23" s="14"/>
      <c r="AM23" s="14"/>
      <c r="AN23" s="14"/>
      <c r="AO23" s="11">
        <v>9.86551182061E14</v>
      </c>
      <c r="AP23" s="11" t="s">
        <v>136</v>
      </c>
      <c r="AQ23" s="11" t="s">
        <v>153</v>
      </c>
      <c r="AR23" s="11" t="s">
        <v>154</v>
      </c>
      <c r="AS23" s="11" t="s">
        <v>156</v>
      </c>
      <c r="AT23" s="11" t="s">
        <v>219</v>
      </c>
      <c r="AU23" s="11" t="s">
        <v>160</v>
      </c>
      <c r="AV23" s="11" t="s">
        <v>162</v>
      </c>
      <c r="AW23" s="11" t="s">
        <v>522</v>
      </c>
      <c r="AX23" s="11">
        <v>1.28034654E9</v>
      </c>
      <c r="AY23" s="11" t="s">
        <v>524</v>
      </c>
      <c r="AZ23" s="11">
        <v>8.95359849162E11</v>
      </c>
      <c r="BA23" s="11" t="s">
        <v>525</v>
      </c>
      <c r="BB23" s="11" t="s">
        <v>526</v>
      </c>
    </row>
    <row r="24">
      <c r="A24" s="10">
        <v>187151.0</v>
      </c>
      <c r="B24" s="11" t="s">
        <v>118</v>
      </c>
      <c r="C24" s="11">
        <v>8.5179986982E10</v>
      </c>
      <c r="D24" s="11" t="s">
        <v>528</v>
      </c>
      <c r="E24" s="11" t="s">
        <v>41</v>
      </c>
      <c r="F24" s="11" t="s">
        <v>265</v>
      </c>
      <c r="G24" s="11" t="s">
        <v>529</v>
      </c>
      <c r="H24" s="13">
        <v>33392.0</v>
      </c>
      <c r="I24" s="10">
        <v>694.0</v>
      </c>
      <c r="J24" s="11" t="s">
        <v>128</v>
      </c>
      <c r="K24" s="14"/>
      <c r="L24" s="11" t="s">
        <v>131</v>
      </c>
      <c r="M24" s="10">
        <v>11.0</v>
      </c>
      <c r="N24" s="10">
        <v>694.0</v>
      </c>
      <c r="O24" s="10">
        <v>2002.0</v>
      </c>
      <c r="P24" s="11" t="s">
        <v>532</v>
      </c>
      <c r="Q24" s="11" t="s">
        <v>136</v>
      </c>
      <c r="R24" s="13">
        <v>45712.0</v>
      </c>
      <c r="S24" s="11" t="s">
        <v>137</v>
      </c>
      <c r="T24" s="14"/>
      <c r="U24" s="13">
        <v>46265.0</v>
      </c>
      <c r="W24" s="14"/>
      <c r="X24" s="11">
        <v>2.0250225E7</v>
      </c>
      <c r="Y24" s="11" t="s">
        <v>145</v>
      </c>
      <c r="Z24" s="10">
        <v>11.0</v>
      </c>
      <c r="AA24" s="10">
        <v>694.0</v>
      </c>
      <c r="AB24" s="14"/>
      <c r="AC24" s="14"/>
      <c r="AD24" s="11" t="s">
        <v>147</v>
      </c>
      <c r="AE24" s="11" t="s">
        <v>149</v>
      </c>
      <c r="AF24" s="14"/>
      <c r="AG24" s="13">
        <v>46167.0</v>
      </c>
      <c r="AH24" s="13">
        <v>46265.0</v>
      </c>
      <c r="AI24" s="14"/>
      <c r="AJ24" s="10">
        <v>11076.0</v>
      </c>
      <c r="AK24" s="14"/>
      <c r="AL24" s="14"/>
      <c r="AM24" s="14"/>
      <c r="AN24" s="11">
        <v>8.08841305E8</v>
      </c>
      <c r="AO24" s="11">
        <v>2.24588533502E14</v>
      </c>
      <c r="AP24" s="11" t="s">
        <v>136</v>
      </c>
      <c r="AQ24" s="11" t="s">
        <v>153</v>
      </c>
      <c r="AR24" s="11" t="s">
        <v>154</v>
      </c>
      <c r="AS24" s="11" t="s">
        <v>156</v>
      </c>
      <c r="AT24" s="11" t="s">
        <v>535</v>
      </c>
      <c r="AU24" s="11" t="s">
        <v>160</v>
      </c>
      <c r="AV24" s="11" t="s">
        <v>162</v>
      </c>
      <c r="AW24" s="11" t="s">
        <v>536</v>
      </c>
      <c r="AX24" s="11">
        <v>4.080026311E9</v>
      </c>
      <c r="AY24" s="14"/>
      <c r="AZ24" s="14"/>
      <c r="BA24" s="14"/>
      <c r="BB24" s="14"/>
    </row>
    <row r="25">
      <c r="A25" s="10">
        <v>187157.0</v>
      </c>
      <c r="B25" s="11" t="s">
        <v>121</v>
      </c>
      <c r="C25" s="11">
        <v>8.1276880772E10</v>
      </c>
      <c r="D25" s="11" t="s">
        <v>538</v>
      </c>
      <c r="E25" s="11" t="s">
        <v>41</v>
      </c>
      <c r="F25" s="11" t="s">
        <v>122</v>
      </c>
      <c r="G25" s="11" t="s">
        <v>539</v>
      </c>
      <c r="H25" s="13">
        <v>36223.0</v>
      </c>
      <c r="I25" s="10">
        <v>590.0</v>
      </c>
      <c r="J25" s="11" t="s">
        <v>128</v>
      </c>
      <c r="K25" s="11" t="s">
        <v>333</v>
      </c>
      <c r="L25" s="11" t="s">
        <v>207</v>
      </c>
      <c r="M25" s="10">
        <v>2.0</v>
      </c>
      <c r="N25" s="10">
        <v>572.0</v>
      </c>
      <c r="O25" s="10">
        <v>407.0</v>
      </c>
      <c r="P25" s="11" t="s">
        <v>541</v>
      </c>
      <c r="Q25" s="11" t="s">
        <v>136</v>
      </c>
      <c r="R25" s="13">
        <v>45741.0</v>
      </c>
      <c r="S25" s="11" t="s">
        <v>137</v>
      </c>
      <c r="T25" s="14"/>
      <c r="U25" s="13">
        <v>46265.0</v>
      </c>
      <c r="W25" s="14"/>
      <c r="X25" s="11">
        <v>2.0250317E7</v>
      </c>
      <c r="Y25" s="11" t="s">
        <v>145</v>
      </c>
      <c r="Z25" s="10">
        <v>2.0</v>
      </c>
      <c r="AA25" s="10">
        <v>590.0</v>
      </c>
      <c r="AB25" s="14"/>
      <c r="AC25" s="14"/>
      <c r="AD25" s="11" t="s">
        <v>147</v>
      </c>
      <c r="AE25" s="11" t="s">
        <v>149</v>
      </c>
      <c r="AF25" s="14"/>
      <c r="AG25" s="13">
        <v>46167.0</v>
      </c>
      <c r="AH25" s="13">
        <v>46265.0</v>
      </c>
      <c r="AI25" s="14"/>
      <c r="AJ25" s="10">
        <v>11223.0</v>
      </c>
      <c r="AK25" s="14"/>
      <c r="AL25" s="14"/>
      <c r="AM25" s="14"/>
      <c r="AN25" s="14"/>
      <c r="AO25" s="11">
        <v>6.31625779125E14</v>
      </c>
      <c r="AP25" s="11" t="s">
        <v>136</v>
      </c>
      <c r="AQ25" s="11" t="s">
        <v>153</v>
      </c>
      <c r="AR25" s="11" t="s">
        <v>154</v>
      </c>
      <c r="AS25" s="11" t="s">
        <v>156</v>
      </c>
      <c r="AT25" s="11" t="s">
        <v>219</v>
      </c>
      <c r="AU25" s="11" t="s">
        <v>160</v>
      </c>
      <c r="AV25" s="11" t="s">
        <v>162</v>
      </c>
      <c r="AW25" s="11" t="s">
        <v>545</v>
      </c>
      <c r="AX25" s="11">
        <v>5.585001675E9</v>
      </c>
      <c r="AY25" s="11" t="s">
        <v>546</v>
      </c>
      <c r="AZ25" s="11">
        <v>8.1276880772E10</v>
      </c>
      <c r="BA25" s="11" t="s">
        <v>547</v>
      </c>
      <c r="BB25" s="11" t="s">
        <v>198</v>
      </c>
    </row>
    <row r="26">
      <c r="A26" s="10">
        <v>187160.0</v>
      </c>
      <c r="B26" s="11" t="s">
        <v>123</v>
      </c>
      <c r="C26" s="11">
        <v>8.95603182217E11</v>
      </c>
      <c r="D26" s="11" t="s">
        <v>549</v>
      </c>
      <c r="E26" s="11" t="s">
        <v>41</v>
      </c>
      <c r="F26" s="11" t="s">
        <v>122</v>
      </c>
      <c r="G26" s="11" t="s">
        <v>551</v>
      </c>
      <c r="H26" s="13">
        <v>34959.0</v>
      </c>
      <c r="I26" s="10">
        <v>652.0</v>
      </c>
      <c r="J26" s="11" t="s">
        <v>128</v>
      </c>
      <c r="K26" s="11" t="s">
        <v>333</v>
      </c>
      <c r="L26" s="11" t="s">
        <v>131</v>
      </c>
      <c r="M26" s="10">
        <v>6.0</v>
      </c>
      <c r="N26" s="10">
        <v>652.0</v>
      </c>
      <c r="O26" s="10">
        <v>1468.0</v>
      </c>
      <c r="P26" s="11" t="s">
        <v>552</v>
      </c>
      <c r="Q26" s="11" t="s">
        <v>136</v>
      </c>
      <c r="R26" s="13">
        <v>45769.0</v>
      </c>
      <c r="S26" s="11" t="s">
        <v>137</v>
      </c>
      <c r="T26" s="14"/>
      <c r="U26" s="13">
        <v>46265.0</v>
      </c>
      <c r="W26" s="14"/>
      <c r="X26" s="11">
        <v>2.0250415E7</v>
      </c>
      <c r="Y26" s="11" t="s">
        <v>145</v>
      </c>
      <c r="Z26" s="10">
        <v>6.0</v>
      </c>
      <c r="AA26" s="10">
        <v>649.0</v>
      </c>
      <c r="AB26" s="14"/>
      <c r="AC26" s="14"/>
      <c r="AD26" s="11" t="s">
        <v>147</v>
      </c>
      <c r="AE26" s="11" t="s">
        <v>149</v>
      </c>
      <c r="AF26" s="14"/>
      <c r="AG26" s="13">
        <v>46167.0</v>
      </c>
      <c r="AH26" s="13">
        <v>46265.0</v>
      </c>
      <c r="AI26" s="14"/>
      <c r="AJ26" s="10">
        <v>11108.0</v>
      </c>
      <c r="AK26" s="14"/>
      <c r="AL26" s="14"/>
      <c r="AM26" s="14"/>
      <c r="AN26" s="14"/>
      <c r="AO26" s="11">
        <v>1.67301570995E14</v>
      </c>
      <c r="AP26" s="11" t="s">
        <v>136</v>
      </c>
      <c r="AQ26" s="11" t="s">
        <v>153</v>
      </c>
      <c r="AR26" s="11" t="s">
        <v>154</v>
      </c>
      <c r="AS26" s="11" t="s">
        <v>156</v>
      </c>
      <c r="AT26" s="11" t="s">
        <v>219</v>
      </c>
      <c r="AU26" s="11" t="s">
        <v>160</v>
      </c>
      <c r="AV26" s="11" t="s">
        <v>162</v>
      </c>
      <c r="AW26" s="11" t="s">
        <v>557</v>
      </c>
      <c r="AX26" s="11">
        <v>6.245038783E9</v>
      </c>
      <c r="AY26" s="14"/>
      <c r="AZ26" s="14"/>
      <c r="BA26" s="14"/>
      <c r="BB26" s="14"/>
    </row>
    <row r="27">
      <c r="A27" s="10">
        <v>187163.0</v>
      </c>
      <c r="B27" s="11" t="s">
        <v>125</v>
      </c>
      <c r="C27" s="11">
        <v>8.521111063E10</v>
      </c>
      <c r="D27" s="11" t="s">
        <v>559</v>
      </c>
      <c r="E27" s="11" t="s">
        <v>41</v>
      </c>
      <c r="F27" s="11" t="s">
        <v>122</v>
      </c>
      <c r="G27" s="11" t="s">
        <v>561</v>
      </c>
      <c r="H27" s="13">
        <v>31546.0</v>
      </c>
      <c r="I27" s="10">
        <v>704.0</v>
      </c>
      <c r="J27" s="11" t="s">
        <v>128</v>
      </c>
      <c r="K27" s="11" t="s">
        <v>130</v>
      </c>
      <c r="L27" s="11" t="s">
        <v>131</v>
      </c>
      <c r="M27" s="10">
        <v>12.0</v>
      </c>
      <c r="N27" s="10">
        <v>698.0</v>
      </c>
      <c r="O27" s="10">
        <v>1542.0</v>
      </c>
      <c r="P27" s="11" t="s">
        <v>563</v>
      </c>
      <c r="Q27" s="11" t="s">
        <v>136</v>
      </c>
      <c r="R27" s="13">
        <v>45796.0</v>
      </c>
      <c r="S27" s="11" t="s">
        <v>137</v>
      </c>
      <c r="T27" s="14"/>
      <c r="U27" s="13">
        <v>46265.0</v>
      </c>
      <c r="W27" s="14"/>
      <c r="X27" s="11">
        <v>2.0250511E7</v>
      </c>
      <c r="Y27" s="11" t="s">
        <v>145</v>
      </c>
      <c r="Z27" s="10">
        <v>12.0</v>
      </c>
      <c r="AA27" s="10">
        <v>716.0</v>
      </c>
      <c r="AB27" s="14"/>
      <c r="AC27" s="14"/>
      <c r="AD27" s="11" t="s">
        <v>147</v>
      </c>
      <c r="AE27" s="11" t="s">
        <v>149</v>
      </c>
      <c r="AF27" s="14"/>
      <c r="AG27" s="13">
        <v>46167.0</v>
      </c>
      <c r="AH27" s="13">
        <v>46265.0</v>
      </c>
      <c r="AI27" s="14"/>
      <c r="AJ27" s="10">
        <v>11078.0</v>
      </c>
      <c r="AK27" s="14"/>
      <c r="AL27" s="14"/>
      <c r="AM27" s="14"/>
      <c r="AN27" s="11">
        <v>1.648683257E9</v>
      </c>
      <c r="AO27" s="11">
        <v>5.89736826442E14</v>
      </c>
      <c r="AP27" s="11" t="s">
        <v>136</v>
      </c>
      <c r="AQ27" s="11" t="s">
        <v>153</v>
      </c>
      <c r="AR27" s="11" t="s">
        <v>154</v>
      </c>
      <c r="AS27" s="11" t="s">
        <v>156</v>
      </c>
      <c r="AT27" s="11" t="s">
        <v>219</v>
      </c>
      <c r="AU27" s="11" t="s">
        <v>160</v>
      </c>
      <c r="AV27" s="11" t="s">
        <v>162</v>
      </c>
      <c r="AW27" s="11" t="s">
        <v>569</v>
      </c>
      <c r="AX27" s="11">
        <v>4.21035319E9</v>
      </c>
      <c r="AY27" s="11" t="s">
        <v>570</v>
      </c>
      <c r="AZ27" s="11">
        <v>8.119690778E9</v>
      </c>
      <c r="BA27" s="11" t="s">
        <v>571</v>
      </c>
      <c r="BB27" s="11" t="s">
        <v>170</v>
      </c>
    </row>
    <row r="28">
      <c r="A28" s="10">
        <v>187164.0</v>
      </c>
      <c r="B28" s="11" t="s">
        <v>129</v>
      </c>
      <c r="C28" s="11">
        <v>8.2269859451E10</v>
      </c>
      <c r="D28" s="11" t="s">
        <v>573</v>
      </c>
      <c r="E28" s="11" t="s">
        <v>41</v>
      </c>
      <c r="F28" s="11" t="s">
        <v>265</v>
      </c>
      <c r="G28" s="11" t="s">
        <v>575</v>
      </c>
      <c r="H28" s="13">
        <v>37751.0</v>
      </c>
      <c r="I28" s="10">
        <v>641.0</v>
      </c>
      <c r="J28" s="11" t="s">
        <v>128</v>
      </c>
      <c r="K28" s="11" t="s">
        <v>333</v>
      </c>
      <c r="L28" s="11" t="s">
        <v>207</v>
      </c>
      <c r="M28" s="10">
        <v>6.0</v>
      </c>
      <c r="N28" s="10">
        <v>638.0</v>
      </c>
      <c r="O28" s="10">
        <v>1281.0</v>
      </c>
      <c r="P28" s="11" t="s">
        <v>576</v>
      </c>
      <c r="Q28" s="11" t="s">
        <v>136</v>
      </c>
      <c r="R28" s="13">
        <v>45784.0</v>
      </c>
      <c r="S28" s="11" t="s">
        <v>137</v>
      </c>
      <c r="T28" s="14"/>
      <c r="U28" s="13">
        <v>46265.0</v>
      </c>
      <c r="W28" s="11" t="s">
        <v>143</v>
      </c>
      <c r="X28" s="11">
        <v>2.0250506E7</v>
      </c>
      <c r="Y28" s="11" t="s">
        <v>145</v>
      </c>
      <c r="Z28" s="10">
        <v>6.0</v>
      </c>
      <c r="AA28" s="10">
        <v>649.0</v>
      </c>
      <c r="AB28" s="14"/>
      <c r="AC28" s="14"/>
      <c r="AD28" s="11" t="s">
        <v>147</v>
      </c>
      <c r="AE28" s="11" t="s">
        <v>149</v>
      </c>
      <c r="AF28" s="14"/>
      <c r="AG28" s="13">
        <v>46167.0</v>
      </c>
      <c r="AH28" s="13">
        <v>46265.0</v>
      </c>
      <c r="AI28" s="14"/>
      <c r="AJ28" s="10">
        <v>11110.0</v>
      </c>
      <c r="AK28" s="14"/>
      <c r="AL28" s="14"/>
      <c r="AM28" s="14"/>
      <c r="AN28" s="14"/>
      <c r="AO28" s="14"/>
      <c r="AP28" s="11" t="s">
        <v>136</v>
      </c>
      <c r="AQ28" s="11" t="s">
        <v>153</v>
      </c>
      <c r="AR28" s="11" t="s">
        <v>154</v>
      </c>
      <c r="AS28" s="11" t="s">
        <v>156</v>
      </c>
      <c r="AT28" s="11" t="s">
        <v>219</v>
      </c>
      <c r="AU28" s="11" t="s">
        <v>160</v>
      </c>
      <c r="AV28" s="11" t="s">
        <v>162</v>
      </c>
      <c r="AW28" s="11" t="s">
        <v>581</v>
      </c>
      <c r="AX28" s="11">
        <v>8.120433165E9</v>
      </c>
      <c r="AY28" s="14"/>
      <c r="AZ28" s="11">
        <v>8.2269859451E10</v>
      </c>
      <c r="BA28" s="14"/>
      <c r="BB28" s="14"/>
    </row>
    <row r="29">
      <c r="A29" s="10">
        <v>187165.0</v>
      </c>
      <c r="B29" s="11" t="s">
        <v>132</v>
      </c>
      <c r="C29" s="11">
        <v>8.9615384948E10</v>
      </c>
      <c r="D29" s="11" t="s">
        <v>583</v>
      </c>
      <c r="E29" s="11" t="s">
        <v>41</v>
      </c>
      <c r="F29" s="11" t="s">
        <v>122</v>
      </c>
      <c r="G29" s="11" t="s">
        <v>584</v>
      </c>
      <c r="H29" s="13">
        <v>37277.0</v>
      </c>
      <c r="I29" s="10">
        <v>676.0</v>
      </c>
      <c r="J29" s="11" t="s">
        <v>128</v>
      </c>
      <c r="K29" s="11" t="s">
        <v>333</v>
      </c>
      <c r="L29" s="11" t="s">
        <v>207</v>
      </c>
      <c r="M29" s="10">
        <v>10.0</v>
      </c>
      <c r="N29" s="10">
        <v>690.0</v>
      </c>
      <c r="O29" s="10">
        <v>1949.0</v>
      </c>
      <c r="P29" s="11" t="s">
        <v>586</v>
      </c>
      <c r="Q29" s="11" t="s">
        <v>136</v>
      </c>
      <c r="R29" s="13">
        <v>45796.0</v>
      </c>
      <c r="S29" s="11" t="s">
        <v>137</v>
      </c>
      <c r="T29" s="14"/>
      <c r="U29" s="13">
        <v>46265.0</v>
      </c>
      <c r="W29" s="14"/>
      <c r="X29" s="11">
        <v>2.0250514E7</v>
      </c>
      <c r="Y29" s="11" t="s">
        <v>145</v>
      </c>
      <c r="Z29" s="10">
        <v>10.0</v>
      </c>
      <c r="AA29" s="10">
        <v>690.0</v>
      </c>
      <c r="AB29" s="14"/>
      <c r="AC29" s="14"/>
      <c r="AD29" s="11" t="s">
        <v>147</v>
      </c>
      <c r="AE29" s="11" t="s">
        <v>149</v>
      </c>
      <c r="AF29" s="14"/>
      <c r="AG29" s="13">
        <v>46167.0</v>
      </c>
      <c r="AH29" s="13">
        <v>46265.0</v>
      </c>
      <c r="AI29" s="14"/>
      <c r="AJ29" s="10">
        <v>12311.0</v>
      </c>
      <c r="AK29" s="14"/>
      <c r="AL29" s="14"/>
      <c r="AM29" s="14"/>
      <c r="AN29" s="14"/>
      <c r="AO29" s="11">
        <v>9.60090611324E14</v>
      </c>
      <c r="AP29" s="11" t="s">
        <v>136</v>
      </c>
      <c r="AQ29" s="11" t="s">
        <v>153</v>
      </c>
      <c r="AR29" s="11" t="s">
        <v>154</v>
      </c>
      <c r="AS29" s="11" t="s">
        <v>156</v>
      </c>
      <c r="AT29" s="11" t="s">
        <v>219</v>
      </c>
      <c r="AU29" s="11" t="s">
        <v>160</v>
      </c>
      <c r="AV29" s="11" t="s">
        <v>162</v>
      </c>
      <c r="AW29" s="11" t="s">
        <v>592</v>
      </c>
      <c r="AX29" s="11">
        <v>4.300673746E9</v>
      </c>
      <c r="AY29" s="11" t="s">
        <v>593</v>
      </c>
      <c r="AZ29" s="11">
        <v>8.5384341755E10</v>
      </c>
      <c r="BA29" s="11" t="s">
        <v>594</v>
      </c>
      <c r="BB29" s="11" t="s">
        <v>488</v>
      </c>
    </row>
    <row r="30">
      <c r="A30" s="10">
        <v>187166.0</v>
      </c>
      <c r="B30" s="11" t="s">
        <v>135</v>
      </c>
      <c r="C30" s="11">
        <v>8.9501607968E10</v>
      </c>
      <c r="D30" s="11" t="s">
        <v>596</v>
      </c>
      <c r="E30" s="11" t="s">
        <v>41</v>
      </c>
      <c r="F30" s="11" t="s">
        <v>265</v>
      </c>
      <c r="G30" s="11" t="s">
        <v>597</v>
      </c>
      <c r="H30" s="13">
        <v>34354.0</v>
      </c>
      <c r="I30" s="10">
        <v>941.0</v>
      </c>
      <c r="J30" s="11" t="s">
        <v>128</v>
      </c>
      <c r="K30" s="11" t="s">
        <v>130</v>
      </c>
      <c r="L30" s="11" t="s">
        <v>207</v>
      </c>
      <c r="M30" s="10">
        <v>11.0</v>
      </c>
      <c r="N30" s="10">
        <v>694.0</v>
      </c>
      <c r="O30" s="10">
        <v>2002.0</v>
      </c>
      <c r="P30" s="11" t="s">
        <v>599</v>
      </c>
      <c r="Q30" s="11" t="s">
        <v>136</v>
      </c>
      <c r="R30" s="13">
        <v>45803.0</v>
      </c>
      <c r="S30" s="11" t="s">
        <v>137</v>
      </c>
      <c r="T30" s="14"/>
      <c r="U30" s="13">
        <v>46265.0</v>
      </c>
      <c r="W30" s="11" t="s">
        <v>143</v>
      </c>
      <c r="X30" s="11">
        <v>2.0250515E7</v>
      </c>
      <c r="Y30" s="11" t="s">
        <v>145</v>
      </c>
      <c r="Z30" s="10">
        <v>27.0</v>
      </c>
      <c r="AA30" s="10">
        <v>957.0</v>
      </c>
      <c r="AB30" s="14"/>
      <c r="AC30" s="14"/>
      <c r="AD30" s="11" t="s">
        <v>147</v>
      </c>
      <c r="AE30" s="11" t="s">
        <v>149</v>
      </c>
      <c r="AF30" s="14"/>
      <c r="AG30" s="13">
        <v>46167.0</v>
      </c>
      <c r="AH30" s="13">
        <v>46265.0</v>
      </c>
      <c r="AI30" s="14"/>
      <c r="AJ30" s="10">
        <v>11098.0</v>
      </c>
      <c r="AK30" s="14"/>
      <c r="AL30" s="14"/>
      <c r="AM30" s="11">
        <v>1.555690847E9</v>
      </c>
      <c r="AN30" s="11">
        <v>2.4109628875E10</v>
      </c>
      <c r="AO30" s="11">
        <v>7.58816284803E14</v>
      </c>
      <c r="AP30" s="11" t="s">
        <v>136</v>
      </c>
      <c r="AQ30" s="11" t="s">
        <v>153</v>
      </c>
      <c r="AR30" s="11" t="s">
        <v>154</v>
      </c>
      <c r="AS30" s="11" t="s">
        <v>156</v>
      </c>
      <c r="AT30" s="11" t="s">
        <v>219</v>
      </c>
      <c r="AU30" s="11" t="s">
        <v>160</v>
      </c>
      <c r="AV30" s="11" t="s">
        <v>162</v>
      </c>
      <c r="AW30" s="11" t="s">
        <v>603</v>
      </c>
      <c r="AX30" s="11">
        <v>7.990187805E9</v>
      </c>
      <c r="AY30" s="14"/>
      <c r="AZ30" s="14"/>
      <c r="BA30" s="14"/>
      <c r="BB30" s="14"/>
    </row>
    <row r="31">
      <c r="A31" s="10">
        <v>187167.0</v>
      </c>
      <c r="B31" s="11" t="s">
        <v>138</v>
      </c>
      <c r="C31" s="11">
        <v>8.589524686E10</v>
      </c>
      <c r="D31" s="11" t="s">
        <v>604</v>
      </c>
      <c r="E31" s="11" t="s">
        <v>41</v>
      </c>
      <c r="F31" s="11" t="s">
        <v>265</v>
      </c>
      <c r="G31" s="11" t="s">
        <v>606</v>
      </c>
      <c r="H31" s="13">
        <v>39078.0</v>
      </c>
      <c r="I31" s="10">
        <v>774.0</v>
      </c>
      <c r="J31" s="11" t="s">
        <v>128</v>
      </c>
      <c r="K31" s="11" t="s">
        <v>130</v>
      </c>
      <c r="L31" s="11" t="s">
        <v>207</v>
      </c>
      <c r="M31" s="10">
        <v>15.0</v>
      </c>
      <c r="N31" s="10">
        <v>774.0</v>
      </c>
      <c r="O31" s="10">
        <v>3493.0</v>
      </c>
      <c r="P31" s="11" t="s">
        <v>607</v>
      </c>
      <c r="Q31" s="11" t="s">
        <v>136</v>
      </c>
      <c r="R31" s="13">
        <v>45810.0</v>
      </c>
      <c r="S31" s="11" t="s">
        <v>137</v>
      </c>
      <c r="T31" s="14"/>
      <c r="U31" s="13">
        <v>46265.0</v>
      </c>
      <c r="W31" s="11" t="s">
        <v>143</v>
      </c>
      <c r="X31" s="11">
        <v>2.0250606E7</v>
      </c>
      <c r="Y31" s="11" t="s">
        <v>145</v>
      </c>
      <c r="Z31" s="10">
        <v>15.0</v>
      </c>
      <c r="AA31" s="10">
        <v>801.0</v>
      </c>
      <c r="AB31" s="14"/>
      <c r="AC31" s="14"/>
      <c r="AD31" s="11" t="s">
        <v>147</v>
      </c>
      <c r="AE31" s="11" t="s">
        <v>149</v>
      </c>
      <c r="AF31" s="14"/>
      <c r="AG31" s="13">
        <v>46198.0</v>
      </c>
      <c r="AH31" s="13">
        <v>46265.0</v>
      </c>
      <c r="AI31" s="14"/>
      <c r="AJ31" s="10">
        <v>11160.0</v>
      </c>
      <c r="AK31" s="14"/>
      <c r="AL31" s="14"/>
      <c r="AM31" s="14"/>
      <c r="AN31" s="14"/>
      <c r="AO31" s="14"/>
      <c r="AP31" s="11" t="s">
        <v>136</v>
      </c>
      <c r="AQ31" s="11" t="s">
        <v>153</v>
      </c>
      <c r="AR31" s="11" t="s">
        <v>154</v>
      </c>
      <c r="AS31" s="11" t="s">
        <v>156</v>
      </c>
      <c r="AT31" s="11" t="s">
        <v>219</v>
      </c>
      <c r="AU31" s="11" t="s">
        <v>160</v>
      </c>
      <c r="AV31" s="11" t="s">
        <v>162</v>
      </c>
      <c r="AW31" s="11" t="s">
        <v>612</v>
      </c>
      <c r="AX31" s="11">
        <v>8.980810837E9</v>
      </c>
      <c r="AY31" s="11" t="s">
        <v>138</v>
      </c>
      <c r="AZ31" s="11">
        <v>8.589524686E10</v>
      </c>
      <c r="BA31" s="11" t="s">
        <v>613</v>
      </c>
      <c r="BB31" s="11" t="s">
        <v>526</v>
      </c>
    </row>
    <row r="32">
      <c r="A32" s="10">
        <v>187168.0</v>
      </c>
      <c r="B32" s="11" t="s">
        <v>140</v>
      </c>
      <c r="C32" s="11">
        <v>8.95377409105E11</v>
      </c>
      <c r="D32" s="11" t="s">
        <v>615</v>
      </c>
      <c r="E32" s="11" t="s">
        <v>41</v>
      </c>
      <c r="F32" s="11" t="s">
        <v>265</v>
      </c>
      <c r="G32" s="11" t="s">
        <v>616</v>
      </c>
      <c r="H32" s="13">
        <v>34877.0</v>
      </c>
      <c r="I32" s="10">
        <v>702.0</v>
      </c>
      <c r="J32" s="11" t="s">
        <v>128</v>
      </c>
      <c r="K32" s="11" t="s">
        <v>292</v>
      </c>
      <c r="L32" s="11" t="s">
        <v>207</v>
      </c>
      <c r="M32" s="10">
        <v>13.0</v>
      </c>
      <c r="N32" s="10">
        <v>757.0</v>
      </c>
      <c r="O32" s="10">
        <v>3200.0</v>
      </c>
      <c r="P32" s="11" t="s">
        <v>618</v>
      </c>
      <c r="Q32" s="11" t="s">
        <v>136</v>
      </c>
      <c r="R32" s="13">
        <v>45812.0</v>
      </c>
      <c r="S32" s="11" t="s">
        <v>137</v>
      </c>
      <c r="T32" s="14"/>
      <c r="U32" s="13">
        <v>46265.0</v>
      </c>
      <c r="V32" s="11" t="s">
        <v>296</v>
      </c>
      <c r="W32" s="11" t="s">
        <v>143</v>
      </c>
      <c r="X32" s="11">
        <v>2.025061E7</v>
      </c>
      <c r="Y32" s="11" t="s">
        <v>145</v>
      </c>
      <c r="Z32" s="10">
        <v>13.0</v>
      </c>
      <c r="AA32" s="10">
        <v>757.0</v>
      </c>
      <c r="AB32" s="14"/>
      <c r="AC32" s="14"/>
      <c r="AD32" s="11" t="s">
        <v>147</v>
      </c>
      <c r="AE32" s="11" t="s">
        <v>149</v>
      </c>
      <c r="AF32" s="14"/>
      <c r="AG32" s="13">
        <v>46198.0</v>
      </c>
      <c r="AH32" s="13">
        <v>46265.0</v>
      </c>
      <c r="AI32" s="14"/>
      <c r="AJ32" s="10">
        <v>11129.0</v>
      </c>
      <c r="AK32" s="14"/>
      <c r="AL32" s="14"/>
      <c r="AM32" s="14"/>
      <c r="AN32" s="14"/>
      <c r="AO32" s="11">
        <v>9.34954777443E14</v>
      </c>
      <c r="AP32" s="11" t="s">
        <v>136</v>
      </c>
      <c r="AQ32" s="11" t="s">
        <v>153</v>
      </c>
      <c r="AR32" s="11" t="s">
        <v>154</v>
      </c>
      <c r="AS32" s="11" t="s">
        <v>156</v>
      </c>
      <c r="AT32" s="11" t="s">
        <v>219</v>
      </c>
      <c r="AU32" s="11" t="s">
        <v>160</v>
      </c>
      <c r="AV32" s="11" t="s">
        <v>162</v>
      </c>
      <c r="AW32" s="11" t="s">
        <v>622</v>
      </c>
      <c r="AX32" s="11">
        <v>8.715805096E9</v>
      </c>
      <c r="AY32" s="11" t="s">
        <v>623</v>
      </c>
      <c r="AZ32" s="11">
        <v>8.95377409105E11</v>
      </c>
      <c r="BA32" s="11" t="s">
        <v>625</v>
      </c>
      <c r="BB32" s="11" t="s">
        <v>227</v>
      </c>
    </row>
    <row r="33">
      <c r="A33" s="10">
        <v>187173.0</v>
      </c>
      <c r="B33" s="11" t="s">
        <v>141</v>
      </c>
      <c r="C33" s="11">
        <v>8.7814045446E10</v>
      </c>
      <c r="D33" s="11" t="s">
        <v>626</v>
      </c>
      <c r="E33" s="11" t="s">
        <v>41</v>
      </c>
      <c r="F33" s="11" t="s">
        <v>122</v>
      </c>
      <c r="G33" s="11" t="s">
        <v>628</v>
      </c>
      <c r="H33" s="13">
        <v>31695.0</v>
      </c>
      <c r="I33" s="10">
        <v>764.0</v>
      </c>
      <c r="J33" s="11" t="s">
        <v>629</v>
      </c>
      <c r="K33" s="11" t="s">
        <v>130</v>
      </c>
      <c r="L33" s="11" t="s">
        <v>131</v>
      </c>
      <c r="M33" s="10">
        <v>14.0</v>
      </c>
      <c r="N33" s="10">
        <v>764.0</v>
      </c>
      <c r="O33" s="10">
        <v>3284.0</v>
      </c>
      <c r="P33" s="11" t="s">
        <v>630</v>
      </c>
      <c r="Q33" s="11" t="s">
        <v>136</v>
      </c>
      <c r="R33" s="13">
        <v>45819.0</v>
      </c>
      <c r="S33" s="11" t="s">
        <v>137</v>
      </c>
      <c r="T33" s="14"/>
      <c r="U33" s="13">
        <v>46265.0</v>
      </c>
      <c r="V33" s="11" t="s">
        <v>296</v>
      </c>
      <c r="W33" s="11" t="s">
        <v>143</v>
      </c>
      <c r="X33" s="11">
        <v>2.0250614E7</v>
      </c>
      <c r="Y33" s="11" t="s">
        <v>145</v>
      </c>
      <c r="Z33" s="10">
        <v>13.0</v>
      </c>
      <c r="AA33" s="10">
        <v>757.0</v>
      </c>
      <c r="AB33" s="14"/>
      <c r="AC33" s="14"/>
      <c r="AD33" s="11" t="s">
        <v>147</v>
      </c>
      <c r="AE33" s="11" t="s">
        <v>149</v>
      </c>
      <c r="AF33" s="14"/>
      <c r="AG33" s="13">
        <v>46198.0</v>
      </c>
      <c r="AH33" s="13">
        <v>46265.0</v>
      </c>
      <c r="AI33" s="14"/>
      <c r="AJ33" s="10">
        <v>11141.0</v>
      </c>
      <c r="AK33" s="14"/>
      <c r="AL33" s="14"/>
      <c r="AM33" s="14"/>
      <c r="AN33" s="11">
        <v>2.047564866E9</v>
      </c>
      <c r="AO33" s="14"/>
      <c r="AP33" s="11" t="s">
        <v>136</v>
      </c>
      <c r="AQ33" s="11" t="s">
        <v>153</v>
      </c>
      <c r="AR33" s="11" t="s">
        <v>154</v>
      </c>
      <c r="AS33" s="11" t="s">
        <v>156</v>
      </c>
      <c r="AT33" s="11" t="s">
        <v>219</v>
      </c>
      <c r="AU33" s="11" t="s">
        <v>160</v>
      </c>
      <c r="AV33" s="11" t="s">
        <v>162</v>
      </c>
      <c r="AW33" s="11" t="s">
        <v>635</v>
      </c>
      <c r="AX33" s="11">
        <v>1.690194631E9</v>
      </c>
      <c r="AY33" s="14"/>
      <c r="AZ33" s="14"/>
      <c r="BA33" s="14"/>
      <c r="BB33" s="14"/>
    </row>
    <row r="34">
      <c r="A34" s="10">
        <v>187177.0</v>
      </c>
      <c r="B34" s="11" t="s">
        <v>142</v>
      </c>
      <c r="C34" s="11">
        <v>8.5656950939E10</v>
      </c>
      <c r="D34" s="11" t="s">
        <v>637</v>
      </c>
      <c r="E34" s="11" t="s">
        <v>41</v>
      </c>
      <c r="F34" s="11" t="s">
        <v>122</v>
      </c>
      <c r="G34" s="11" t="s">
        <v>639</v>
      </c>
      <c r="H34" s="13">
        <v>37119.0</v>
      </c>
      <c r="I34" s="10">
        <v>900.0</v>
      </c>
      <c r="J34" s="11" t="s">
        <v>128</v>
      </c>
      <c r="K34" s="11" t="s">
        <v>130</v>
      </c>
      <c r="L34" s="11" t="s">
        <v>207</v>
      </c>
      <c r="M34" s="10">
        <v>23.0</v>
      </c>
      <c r="N34" s="10">
        <v>900.0</v>
      </c>
      <c r="O34" s="10">
        <v>5152.0</v>
      </c>
      <c r="P34" s="11" t="s">
        <v>640</v>
      </c>
      <c r="Q34" s="11" t="s">
        <v>136</v>
      </c>
      <c r="R34" s="13">
        <v>45824.0</v>
      </c>
      <c r="S34" s="11" t="s">
        <v>137</v>
      </c>
      <c r="T34" s="14"/>
      <c r="U34" s="13">
        <v>46265.0</v>
      </c>
      <c r="W34" s="11" t="s">
        <v>143</v>
      </c>
      <c r="X34" s="11">
        <v>2.020061E7</v>
      </c>
      <c r="Y34" s="11" t="s">
        <v>145</v>
      </c>
      <c r="Z34" s="10">
        <v>23.0</v>
      </c>
      <c r="AA34" s="10">
        <v>900.0</v>
      </c>
      <c r="AB34" s="14"/>
      <c r="AC34" s="14"/>
      <c r="AD34" s="11" t="s">
        <v>147</v>
      </c>
      <c r="AE34" s="11" t="s">
        <v>149</v>
      </c>
      <c r="AF34" s="14"/>
      <c r="AG34" s="13">
        <v>46198.0</v>
      </c>
      <c r="AH34" s="13">
        <v>46265.0</v>
      </c>
      <c r="AI34" s="14"/>
      <c r="AJ34" s="10">
        <v>11122.0</v>
      </c>
      <c r="AK34" s="14"/>
      <c r="AL34" s="14"/>
      <c r="AM34" s="11">
        <v>2.3048929394E10</v>
      </c>
      <c r="AN34" s="11">
        <v>2.092289534E9</v>
      </c>
      <c r="AO34" s="11">
        <v>9.31148159721E14</v>
      </c>
      <c r="AP34" s="11" t="s">
        <v>136</v>
      </c>
      <c r="AQ34" s="11" t="s">
        <v>153</v>
      </c>
      <c r="AR34" s="11" t="s">
        <v>154</v>
      </c>
      <c r="AS34" s="11" t="s">
        <v>156</v>
      </c>
      <c r="AT34" s="11" t="s">
        <v>219</v>
      </c>
      <c r="AU34" s="11" t="s">
        <v>160</v>
      </c>
      <c r="AV34" s="11" t="s">
        <v>162</v>
      </c>
      <c r="AW34" s="11" t="s">
        <v>645</v>
      </c>
      <c r="AX34" s="11">
        <v>7.810287131E9</v>
      </c>
      <c r="AY34" s="11" t="s">
        <v>646</v>
      </c>
      <c r="AZ34" s="11">
        <v>8.2151938133E10</v>
      </c>
      <c r="BA34" s="11" t="s">
        <v>647</v>
      </c>
      <c r="BB34" s="11" t="s">
        <v>198</v>
      </c>
    </row>
    <row r="35">
      <c r="A35" s="10">
        <v>187178.0</v>
      </c>
      <c r="B35" s="11" t="s">
        <v>144</v>
      </c>
      <c r="C35" s="11">
        <v>8.8227753485E10</v>
      </c>
      <c r="D35" s="11" t="s">
        <v>649</v>
      </c>
      <c r="E35" s="11" t="s">
        <v>41</v>
      </c>
      <c r="F35" s="11" t="s">
        <v>122</v>
      </c>
      <c r="G35" s="11" t="s">
        <v>650</v>
      </c>
      <c r="H35" s="13">
        <v>38790.0</v>
      </c>
      <c r="I35" s="10">
        <v>735.0</v>
      </c>
      <c r="J35" s="11" t="s">
        <v>128</v>
      </c>
      <c r="K35" s="14"/>
      <c r="L35" s="11" t="s">
        <v>207</v>
      </c>
      <c r="M35" s="10">
        <v>13.0</v>
      </c>
      <c r="N35" s="10">
        <v>735.0</v>
      </c>
      <c r="O35" s="10">
        <v>2858.0</v>
      </c>
      <c r="P35" s="11" t="s">
        <v>652</v>
      </c>
      <c r="Q35" s="11" t="s">
        <v>136</v>
      </c>
      <c r="R35" s="13">
        <v>45826.0</v>
      </c>
      <c r="S35" s="11" t="s">
        <v>137</v>
      </c>
      <c r="T35" s="14"/>
      <c r="U35" s="13">
        <v>46265.0</v>
      </c>
      <c r="W35" s="14"/>
      <c r="X35" s="11">
        <v>2.0250623E7</v>
      </c>
      <c r="Y35" s="11" t="s">
        <v>145</v>
      </c>
      <c r="Z35" s="10">
        <v>13.0</v>
      </c>
      <c r="AA35" s="10">
        <v>757.0</v>
      </c>
      <c r="AB35" s="14"/>
      <c r="AC35" s="14"/>
      <c r="AD35" s="11" t="s">
        <v>147</v>
      </c>
      <c r="AE35" s="11" t="s">
        <v>149</v>
      </c>
      <c r="AF35" s="14"/>
      <c r="AG35" s="13">
        <v>46198.0</v>
      </c>
      <c r="AH35" s="13">
        <v>46265.0</v>
      </c>
      <c r="AI35" s="14"/>
      <c r="AJ35" s="10">
        <v>11148.0</v>
      </c>
      <c r="AK35" s="14"/>
      <c r="AL35" s="14"/>
      <c r="AM35" s="14"/>
      <c r="AN35" s="11">
        <v>2.346783592E9</v>
      </c>
      <c r="AO35" s="11">
        <v>1.97497290532E14</v>
      </c>
      <c r="AP35" s="11" t="s">
        <v>136</v>
      </c>
      <c r="AQ35" s="11" t="s">
        <v>153</v>
      </c>
      <c r="AR35" s="11" t="s">
        <v>154</v>
      </c>
      <c r="AS35" s="11" t="s">
        <v>156</v>
      </c>
      <c r="AT35" s="11" t="s">
        <v>219</v>
      </c>
      <c r="AU35" s="11" t="s">
        <v>160</v>
      </c>
      <c r="AV35" s="11" t="s">
        <v>162</v>
      </c>
      <c r="AW35" s="11" t="s">
        <v>656</v>
      </c>
      <c r="AX35" s="11">
        <v>7.851256753E9</v>
      </c>
      <c r="AY35" s="14"/>
      <c r="AZ35" s="14"/>
      <c r="BA35" s="14"/>
      <c r="BB35" s="14"/>
    </row>
    <row r="36">
      <c r="A36" s="10">
        <v>187180.0</v>
      </c>
      <c r="B36" s="11" t="s">
        <v>146</v>
      </c>
      <c r="C36" s="11">
        <v>8.3150001212E10</v>
      </c>
      <c r="D36" s="11" t="s">
        <v>658</v>
      </c>
      <c r="E36" s="11" t="s">
        <v>41</v>
      </c>
      <c r="F36" s="11" t="s">
        <v>122</v>
      </c>
      <c r="G36" s="11" t="s">
        <v>661</v>
      </c>
      <c r="H36" s="13">
        <v>36349.0</v>
      </c>
      <c r="I36" s="10">
        <v>879.0</v>
      </c>
      <c r="J36" s="11" t="s">
        <v>128</v>
      </c>
      <c r="K36" s="11" t="s">
        <v>130</v>
      </c>
      <c r="L36" s="11" t="s">
        <v>131</v>
      </c>
      <c r="M36" s="10">
        <v>21.0</v>
      </c>
      <c r="N36" s="10">
        <v>879.0</v>
      </c>
      <c r="O36" s="10">
        <v>4905.0</v>
      </c>
      <c r="P36" s="11" t="s">
        <v>662</v>
      </c>
      <c r="Q36" s="11" t="s">
        <v>136</v>
      </c>
      <c r="R36" s="13">
        <v>45835.0</v>
      </c>
      <c r="S36" s="11" t="s">
        <v>137</v>
      </c>
      <c r="T36" s="14"/>
      <c r="U36" s="13">
        <v>46265.0</v>
      </c>
      <c r="W36" s="14"/>
      <c r="X36" s="11">
        <v>2.0250632E7</v>
      </c>
      <c r="Y36" s="11" t="s">
        <v>145</v>
      </c>
      <c r="Z36" s="10">
        <v>22.0</v>
      </c>
      <c r="AA36" s="10">
        <v>891.0</v>
      </c>
      <c r="AB36" s="14"/>
      <c r="AC36" s="14"/>
      <c r="AD36" s="11" t="s">
        <v>147</v>
      </c>
      <c r="AE36" s="11" t="s">
        <v>149</v>
      </c>
      <c r="AF36" s="14"/>
      <c r="AG36" s="13">
        <v>46198.0</v>
      </c>
      <c r="AH36" s="13">
        <v>46265.0</v>
      </c>
      <c r="AI36" s="14"/>
      <c r="AJ36" s="10">
        <v>11071.0</v>
      </c>
      <c r="AK36" s="14"/>
      <c r="AL36" s="14"/>
      <c r="AM36" s="14"/>
      <c r="AN36" s="14"/>
      <c r="AO36" s="11">
        <v>9.02699883711E14</v>
      </c>
      <c r="AP36" s="11" t="s">
        <v>136</v>
      </c>
      <c r="AQ36" s="11" t="s">
        <v>153</v>
      </c>
      <c r="AR36" s="11" t="s">
        <v>154</v>
      </c>
      <c r="AS36" s="11" t="s">
        <v>156</v>
      </c>
      <c r="AT36" s="11" t="s">
        <v>219</v>
      </c>
      <c r="AU36" s="11" t="s">
        <v>160</v>
      </c>
      <c r="AV36" s="11" t="s">
        <v>162</v>
      </c>
      <c r="AW36" s="11" t="s">
        <v>667</v>
      </c>
      <c r="AX36" s="11">
        <v>6.575189966E9</v>
      </c>
      <c r="AY36" s="11" t="s">
        <v>668</v>
      </c>
      <c r="AZ36" s="11">
        <v>8.1251544938E10</v>
      </c>
      <c r="BA36" s="11" t="s">
        <v>669</v>
      </c>
      <c r="BB36" s="11" t="s">
        <v>170</v>
      </c>
    </row>
    <row r="37">
      <c r="A37" s="10">
        <v>187183.0</v>
      </c>
      <c r="B37" s="11" t="s">
        <v>150</v>
      </c>
      <c r="C37" s="11">
        <v>8.5691568762E10</v>
      </c>
      <c r="D37" s="11" t="s">
        <v>671</v>
      </c>
      <c r="E37" s="11" t="s">
        <v>41</v>
      </c>
      <c r="F37" s="11" t="s">
        <v>122</v>
      </c>
      <c r="G37" s="11" t="s">
        <v>672</v>
      </c>
      <c r="H37" s="13">
        <v>37652.0</v>
      </c>
      <c r="I37" s="10">
        <v>803.0</v>
      </c>
      <c r="J37" s="11" t="s">
        <v>128</v>
      </c>
      <c r="K37" s="14"/>
      <c r="L37" s="11" t="s">
        <v>207</v>
      </c>
      <c r="M37" s="10">
        <v>16.0</v>
      </c>
      <c r="N37" s="10">
        <v>803.0</v>
      </c>
      <c r="O37" s="10">
        <v>3974.0</v>
      </c>
      <c r="P37" s="11" t="s">
        <v>674</v>
      </c>
      <c r="Q37" s="11" t="s">
        <v>136</v>
      </c>
      <c r="R37" s="13">
        <v>45838.0</v>
      </c>
      <c r="S37" s="11" t="s">
        <v>137</v>
      </c>
      <c r="T37" s="14"/>
      <c r="U37" s="13">
        <v>46265.0</v>
      </c>
      <c r="W37" s="14"/>
      <c r="X37" s="11">
        <v>2.025063E7</v>
      </c>
      <c r="Y37" s="11" t="s">
        <v>145</v>
      </c>
      <c r="Z37" s="10">
        <v>16.0</v>
      </c>
      <c r="AA37" s="10">
        <v>807.0</v>
      </c>
      <c r="AB37" s="14"/>
      <c r="AC37" s="14"/>
      <c r="AD37" s="11" t="s">
        <v>147</v>
      </c>
      <c r="AE37" s="11" t="s">
        <v>149</v>
      </c>
      <c r="AF37" s="14"/>
      <c r="AG37" s="13">
        <v>46198.0</v>
      </c>
      <c r="AH37" s="13">
        <v>46265.0</v>
      </c>
      <c r="AI37" s="14"/>
      <c r="AJ37" s="10">
        <v>11080.0</v>
      </c>
      <c r="AK37" s="14"/>
      <c r="AL37" s="14"/>
      <c r="AM37" s="14"/>
      <c r="AN37" s="14"/>
      <c r="AO37" s="11">
        <v>6.08924783419E14</v>
      </c>
      <c r="AP37" s="11" t="s">
        <v>136</v>
      </c>
      <c r="AQ37" s="11" t="s">
        <v>153</v>
      </c>
      <c r="AR37" s="11" t="s">
        <v>154</v>
      </c>
      <c r="AS37" s="11" t="s">
        <v>156</v>
      </c>
      <c r="AT37" s="11" t="s">
        <v>219</v>
      </c>
      <c r="AU37" s="11" t="s">
        <v>160</v>
      </c>
      <c r="AV37" s="11" t="s">
        <v>162</v>
      </c>
      <c r="AW37" s="11" t="s">
        <v>678</v>
      </c>
      <c r="AX37" s="11">
        <v>4.900427021E9</v>
      </c>
      <c r="AY37" s="14"/>
      <c r="AZ37" s="14"/>
      <c r="BA37" s="14"/>
      <c r="BB37" s="14"/>
    </row>
    <row r="38">
      <c r="A38" s="10">
        <v>187184.0</v>
      </c>
      <c r="B38" s="11" t="s">
        <v>151</v>
      </c>
      <c r="C38" s="11">
        <v>8.1215716464E10</v>
      </c>
      <c r="D38" s="11" t="s">
        <v>680</v>
      </c>
      <c r="E38" s="11" t="s">
        <v>41</v>
      </c>
      <c r="F38" s="11" t="s">
        <v>122</v>
      </c>
      <c r="G38" s="11" t="s">
        <v>681</v>
      </c>
      <c r="H38" s="13">
        <v>34141.0</v>
      </c>
      <c r="I38" s="10">
        <v>742.0</v>
      </c>
      <c r="J38" s="11" t="s">
        <v>128</v>
      </c>
      <c r="K38" s="11" t="s">
        <v>130</v>
      </c>
      <c r="L38" s="11" t="s">
        <v>131</v>
      </c>
      <c r="M38" s="10">
        <v>13.0</v>
      </c>
      <c r="N38" s="10">
        <v>757.0</v>
      </c>
      <c r="O38" s="10">
        <v>3195.0</v>
      </c>
      <c r="P38" s="11" t="s">
        <v>683</v>
      </c>
      <c r="Q38" s="11" t="s">
        <v>136</v>
      </c>
      <c r="R38" s="13">
        <v>45839.0</v>
      </c>
      <c r="S38" s="11" t="s">
        <v>137</v>
      </c>
      <c r="T38" s="14"/>
      <c r="U38" s="13">
        <v>46265.0</v>
      </c>
      <c r="W38" s="14"/>
      <c r="X38" s="11">
        <v>2.0250633E7</v>
      </c>
      <c r="Y38" s="11" t="s">
        <v>145</v>
      </c>
      <c r="Z38" s="10">
        <v>13.0</v>
      </c>
      <c r="AA38" s="10">
        <v>757.0</v>
      </c>
      <c r="AB38" s="14"/>
      <c r="AC38" s="14"/>
      <c r="AD38" s="11" t="s">
        <v>147</v>
      </c>
      <c r="AE38" s="11" t="s">
        <v>149</v>
      </c>
      <c r="AF38" s="14"/>
      <c r="AG38" s="13">
        <v>46198.0</v>
      </c>
      <c r="AH38" s="13">
        <v>46265.0</v>
      </c>
      <c r="AI38" s="14"/>
      <c r="AJ38" s="10">
        <v>11131.0</v>
      </c>
      <c r="AK38" s="14"/>
      <c r="AL38" s="14"/>
      <c r="AM38" s="14"/>
      <c r="AN38" s="11">
        <v>5.86177705E8</v>
      </c>
      <c r="AO38" s="11">
        <v>5.35270334518E14</v>
      </c>
      <c r="AP38" s="11" t="s">
        <v>136</v>
      </c>
      <c r="AQ38" s="11" t="s">
        <v>153</v>
      </c>
      <c r="AR38" s="11" t="s">
        <v>154</v>
      </c>
      <c r="AS38" s="11" t="s">
        <v>156</v>
      </c>
      <c r="AT38" s="11" t="s">
        <v>219</v>
      </c>
      <c r="AU38" s="11" t="s">
        <v>160</v>
      </c>
      <c r="AV38" s="11" t="s">
        <v>162</v>
      </c>
      <c r="AW38" s="11" t="s">
        <v>689</v>
      </c>
      <c r="AX38" s="11">
        <v>9.80363422E8</v>
      </c>
      <c r="AY38" s="11" t="s">
        <v>690</v>
      </c>
      <c r="AZ38" s="11">
        <v>8.5602992719E10</v>
      </c>
      <c r="BA38" s="11" t="s">
        <v>691</v>
      </c>
      <c r="BB38" s="11" t="s">
        <v>170</v>
      </c>
    </row>
    <row r="39">
      <c r="A39" s="10">
        <v>187185.0</v>
      </c>
      <c r="B39" s="11" t="s">
        <v>152</v>
      </c>
      <c r="C39" s="11">
        <v>8.5651034052E10</v>
      </c>
      <c r="D39" s="11" t="s">
        <v>693</v>
      </c>
      <c r="E39" s="11" t="s">
        <v>41</v>
      </c>
      <c r="F39" s="11" t="s">
        <v>265</v>
      </c>
      <c r="G39" s="11" t="s">
        <v>695</v>
      </c>
      <c r="H39" s="13">
        <v>34794.0</v>
      </c>
      <c r="I39" s="10">
        <v>857.0</v>
      </c>
      <c r="J39" s="11" t="s">
        <v>419</v>
      </c>
      <c r="K39" s="11" t="s">
        <v>130</v>
      </c>
      <c r="L39" s="11" t="s">
        <v>207</v>
      </c>
      <c r="M39" s="10">
        <v>20.0</v>
      </c>
      <c r="N39" s="10">
        <v>864.0</v>
      </c>
      <c r="O39" s="10">
        <v>4765.0</v>
      </c>
      <c r="P39" s="11" t="s">
        <v>696</v>
      </c>
      <c r="Q39" s="11" t="s">
        <v>136</v>
      </c>
      <c r="R39" s="13">
        <v>45845.0</v>
      </c>
      <c r="S39" s="11" t="s">
        <v>137</v>
      </c>
      <c r="T39" s="14"/>
      <c r="U39" s="13">
        <v>46265.0</v>
      </c>
      <c r="W39" s="11" t="s">
        <v>143</v>
      </c>
      <c r="X39" s="11">
        <v>2.0250704E7</v>
      </c>
      <c r="Y39" s="11" t="s">
        <v>145</v>
      </c>
      <c r="Z39" s="10">
        <v>20.0</v>
      </c>
      <c r="AA39" s="10">
        <v>864.0</v>
      </c>
      <c r="AB39" s="14"/>
      <c r="AC39" s="14"/>
      <c r="AD39" s="11" t="s">
        <v>147</v>
      </c>
      <c r="AE39" s="11" t="s">
        <v>149</v>
      </c>
      <c r="AF39" s="14"/>
      <c r="AG39" s="13">
        <v>46167.0</v>
      </c>
      <c r="AH39" s="13">
        <v>46265.0</v>
      </c>
      <c r="AI39" s="14"/>
      <c r="AJ39" s="10">
        <v>11176.0</v>
      </c>
      <c r="AK39" s="14"/>
      <c r="AL39" s="14"/>
      <c r="AM39" s="11">
        <v>2.4207959552E10</v>
      </c>
      <c r="AN39" s="11">
        <v>1.728855112E9</v>
      </c>
      <c r="AO39" s="11">
        <v>6.10417050495E14</v>
      </c>
      <c r="AP39" s="11" t="s">
        <v>136</v>
      </c>
      <c r="AQ39" s="11" t="s">
        <v>153</v>
      </c>
      <c r="AR39" s="11" t="s">
        <v>154</v>
      </c>
      <c r="AS39" s="11" t="s">
        <v>156</v>
      </c>
      <c r="AT39" s="11" t="s">
        <v>219</v>
      </c>
      <c r="AU39" s="11" t="s">
        <v>160</v>
      </c>
      <c r="AV39" s="11" t="s">
        <v>162</v>
      </c>
      <c r="AW39" s="11" t="s">
        <v>700</v>
      </c>
      <c r="AX39" s="11">
        <v>1.711654599E9</v>
      </c>
      <c r="AY39" s="14"/>
      <c r="AZ39" s="14"/>
      <c r="BA39" s="14"/>
      <c r="BB39" s="14"/>
    </row>
    <row r="40">
      <c r="A40" s="10">
        <v>187187.0</v>
      </c>
      <c r="B40" s="11" t="s">
        <v>157</v>
      </c>
      <c r="C40" s="11">
        <v>8.569355618E10</v>
      </c>
      <c r="D40" s="11" t="s">
        <v>702</v>
      </c>
      <c r="E40" s="11" t="s">
        <v>704</v>
      </c>
      <c r="F40" s="11" t="s">
        <v>265</v>
      </c>
      <c r="G40" s="11" t="s">
        <v>705</v>
      </c>
      <c r="H40" s="13">
        <v>37975.0</v>
      </c>
      <c r="I40" s="10">
        <v>803.0</v>
      </c>
      <c r="J40" s="11" t="s">
        <v>128</v>
      </c>
      <c r="K40" s="11" t="s">
        <v>706</v>
      </c>
      <c r="L40" s="11" t="s">
        <v>207</v>
      </c>
      <c r="M40" s="10">
        <v>16.0</v>
      </c>
      <c r="N40" s="10">
        <v>807.0</v>
      </c>
      <c r="O40" s="10">
        <v>4075.0</v>
      </c>
      <c r="P40" s="11" t="s">
        <v>707</v>
      </c>
      <c r="Q40" s="11" t="s">
        <v>136</v>
      </c>
      <c r="R40" s="13">
        <v>45236.0</v>
      </c>
      <c r="S40" s="11" t="s">
        <v>137</v>
      </c>
      <c r="T40" s="14"/>
      <c r="U40" s="13">
        <v>46265.0</v>
      </c>
      <c r="W40" s="14"/>
      <c r="X40" s="11">
        <v>2.0231101E7</v>
      </c>
      <c r="Y40" s="11" t="s">
        <v>145</v>
      </c>
      <c r="Z40" s="10">
        <v>11.0</v>
      </c>
      <c r="AA40" s="10">
        <v>697.0</v>
      </c>
      <c r="AB40" s="10">
        <v>1973.0</v>
      </c>
      <c r="AC40" s="14"/>
      <c r="AD40" s="11" t="s">
        <v>147</v>
      </c>
      <c r="AE40" s="11" t="s">
        <v>149</v>
      </c>
      <c r="AF40" s="14"/>
      <c r="AG40" s="13">
        <v>46146.0</v>
      </c>
      <c r="AH40" s="13">
        <v>46265.0</v>
      </c>
      <c r="AI40" s="14"/>
      <c r="AJ40" s="10">
        <v>11187.0</v>
      </c>
      <c r="AK40" s="14"/>
      <c r="AL40" s="11" t="s">
        <v>713</v>
      </c>
      <c r="AM40" s="11">
        <v>2.5008123942E10</v>
      </c>
      <c r="AN40" s="11">
        <v>7.96521407E8</v>
      </c>
      <c r="AO40" s="11">
        <v>5.37949547419E14</v>
      </c>
      <c r="AP40" s="11" t="s">
        <v>136</v>
      </c>
      <c r="AQ40" s="11" t="s">
        <v>153</v>
      </c>
      <c r="AR40" s="11" t="s">
        <v>154</v>
      </c>
      <c r="AS40" s="11" t="s">
        <v>156</v>
      </c>
      <c r="AT40" s="11" t="s">
        <v>219</v>
      </c>
      <c r="AU40" s="11" t="s">
        <v>160</v>
      </c>
      <c r="AV40" s="11" t="s">
        <v>162</v>
      </c>
      <c r="AW40" s="11" t="s">
        <v>716</v>
      </c>
      <c r="AX40" s="11">
        <v>7.125610072E9</v>
      </c>
      <c r="AY40" s="11" t="s">
        <v>718</v>
      </c>
      <c r="AZ40" s="11">
        <v>8.3895259493E10</v>
      </c>
      <c r="BA40" s="11" t="s">
        <v>720</v>
      </c>
      <c r="BB40" s="11" t="s">
        <v>526</v>
      </c>
    </row>
    <row r="41">
      <c r="A41" s="10">
        <v>187193.0</v>
      </c>
      <c r="B41" s="11" t="s">
        <v>161</v>
      </c>
      <c r="C41" s="11">
        <v>8.1271892394E10</v>
      </c>
      <c r="D41" s="11" t="s">
        <v>721</v>
      </c>
      <c r="E41" s="11" t="s">
        <v>704</v>
      </c>
      <c r="F41" s="11" t="s">
        <v>265</v>
      </c>
      <c r="G41" s="11" t="s">
        <v>723</v>
      </c>
      <c r="H41" s="13">
        <v>30064.0</v>
      </c>
      <c r="I41" s="10">
        <v>649.0</v>
      </c>
      <c r="J41" s="11" t="s">
        <v>128</v>
      </c>
      <c r="K41" s="14"/>
      <c r="L41" s="11" t="s">
        <v>131</v>
      </c>
      <c r="M41" s="10">
        <v>6.0</v>
      </c>
      <c r="N41" s="10">
        <v>649.0</v>
      </c>
      <c r="O41" s="10">
        <v>1455.0</v>
      </c>
      <c r="P41" s="11" t="s">
        <v>726</v>
      </c>
      <c r="Q41" s="11" t="s">
        <v>136</v>
      </c>
      <c r="R41" s="13">
        <v>45600.0</v>
      </c>
      <c r="S41" s="11" t="s">
        <v>137</v>
      </c>
      <c r="T41" s="14"/>
      <c r="U41" s="13">
        <v>46265.0</v>
      </c>
      <c r="V41" s="11" t="s">
        <v>296</v>
      </c>
      <c r="W41" s="11" t="s">
        <v>143</v>
      </c>
      <c r="X41" s="11">
        <v>2.0241101E7</v>
      </c>
      <c r="Y41" s="11" t="s">
        <v>145</v>
      </c>
      <c r="Z41" s="10">
        <v>27.0</v>
      </c>
      <c r="AA41" s="10">
        <v>957.0</v>
      </c>
      <c r="AB41" s="10">
        <v>5856.0</v>
      </c>
      <c r="AC41" s="14"/>
      <c r="AD41" s="11" t="s">
        <v>147</v>
      </c>
      <c r="AE41" s="11" t="s">
        <v>149</v>
      </c>
      <c r="AF41" s="14"/>
      <c r="AG41" s="13">
        <v>46167.0</v>
      </c>
      <c r="AH41" s="13">
        <v>46265.0</v>
      </c>
      <c r="AI41" s="14"/>
      <c r="AJ41" s="10">
        <v>11183.0</v>
      </c>
      <c r="AK41" s="14"/>
      <c r="AL41" s="11" t="s">
        <v>713</v>
      </c>
      <c r="AM41" s="11">
        <v>2.5003790893E10</v>
      </c>
      <c r="AN41" s="14"/>
      <c r="AO41" s="11">
        <v>1.67293265307E14</v>
      </c>
      <c r="AP41" s="11" t="s">
        <v>136</v>
      </c>
      <c r="AQ41" s="11" t="s">
        <v>153</v>
      </c>
      <c r="AR41" s="11" t="s">
        <v>154</v>
      </c>
      <c r="AS41" s="11" t="s">
        <v>156</v>
      </c>
      <c r="AT41" s="11" t="s">
        <v>189</v>
      </c>
      <c r="AU41" s="11" t="s">
        <v>160</v>
      </c>
      <c r="AV41" s="11" t="s">
        <v>162</v>
      </c>
      <c r="AW41" s="11" t="s">
        <v>731</v>
      </c>
      <c r="AX41" s="11">
        <v>2.14271334E8</v>
      </c>
      <c r="AY41" s="14"/>
      <c r="AZ41" s="14"/>
      <c r="BA41" s="14"/>
      <c r="BB41" s="14"/>
    </row>
    <row r="42">
      <c r="A42" s="10">
        <v>189602.0</v>
      </c>
      <c r="B42" s="11" t="s">
        <v>166</v>
      </c>
      <c r="C42" s="11">
        <v>8.95329958077E11</v>
      </c>
      <c r="D42" s="11" t="s">
        <v>732</v>
      </c>
      <c r="E42" s="11" t="s">
        <v>41</v>
      </c>
      <c r="F42" s="11" t="s">
        <v>265</v>
      </c>
      <c r="G42" s="11" t="s">
        <v>733</v>
      </c>
      <c r="H42" s="13">
        <v>38030.0</v>
      </c>
      <c r="I42" s="10">
        <v>902.0</v>
      </c>
      <c r="J42" s="11" t="s">
        <v>419</v>
      </c>
      <c r="K42" s="11" t="s">
        <v>130</v>
      </c>
      <c r="L42" s="11" t="s">
        <v>207</v>
      </c>
      <c r="M42" s="10">
        <v>23.0</v>
      </c>
      <c r="N42" s="10">
        <v>902.0</v>
      </c>
      <c r="O42" s="10">
        <v>5167.0</v>
      </c>
      <c r="P42" s="11" t="s">
        <v>736</v>
      </c>
      <c r="Q42" s="11" t="s">
        <v>136</v>
      </c>
      <c r="R42" s="13">
        <v>45915.0</v>
      </c>
      <c r="S42" s="11" t="s">
        <v>137</v>
      </c>
      <c r="T42" s="14"/>
      <c r="U42" s="13">
        <v>46265.0</v>
      </c>
      <c r="W42" s="11" t="s">
        <v>143</v>
      </c>
      <c r="X42" s="14"/>
      <c r="Y42" s="11" t="s">
        <v>145</v>
      </c>
      <c r="Z42" s="10">
        <v>23.0</v>
      </c>
      <c r="AA42" s="10">
        <v>902.0</v>
      </c>
      <c r="AB42" s="10">
        <v>5166.0</v>
      </c>
      <c r="AC42" s="14"/>
      <c r="AD42" s="11" t="s">
        <v>147</v>
      </c>
      <c r="AE42" s="11" t="s">
        <v>149</v>
      </c>
      <c r="AF42" s="14"/>
      <c r="AG42" s="13">
        <v>46198.0</v>
      </c>
      <c r="AH42" s="13">
        <v>46265.0</v>
      </c>
      <c r="AI42" s="14"/>
      <c r="AJ42" s="10">
        <v>11112.0</v>
      </c>
      <c r="AK42" s="14"/>
      <c r="AL42" s="14"/>
      <c r="AM42" s="14"/>
      <c r="AN42" s="14"/>
      <c r="AO42" s="14"/>
      <c r="AP42" s="11" t="s">
        <v>136</v>
      </c>
      <c r="AQ42" s="11" t="s">
        <v>136</v>
      </c>
      <c r="AR42" s="11" t="s">
        <v>740</v>
      </c>
      <c r="AS42" s="14"/>
      <c r="AT42" s="11" t="s">
        <v>219</v>
      </c>
      <c r="AU42" s="11" t="s">
        <v>160</v>
      </c>
      <c r="AV42" s="11" t="s">
        <v>742</v>
      </c>
      <c r="AW42" s="11" t="s">
        <v>166</v>
      </c>
      <c r="AX42" s="11">
        <v>3.3301018582534E13</v>
      </c>
      <c r="AY42" s="11" t="s">
        <v>744</v>
      </c>
      <c r="AZ42" s="11">
        <v>8.9689482457E10</v>
      </c>
      <c r="BA42" s="11" t="s">
        <v>746</v>
      </c>
      <c r="BB42" s="11" t="s">
        <v>227</v>
      </c>
    </row>
    <row r="43">
      <c r="A43" s="10">
        <v>190224.0</v>
      </c>
      <c r="B43" s="11" t="s">
        <v>169</v>
      </c>
      <c r="C43" s="11">
        <v>8.7865850309E10</v>
      </c>
      <c r="D43" s="11" t="s">
        <v>747</v>
      </c>
      <c r="E43" s="11" t="s">
        <v>41</v>
      </c>
      <c r="F43" s="11" t="s">
        <v>122</v>
      </c>
      <c r="G43" s="11" t="s">
        <v>748</v>
      </c>
      <c r="H43" s="13">
        <v>35751.0</v>
      </c>
      <c r="I43" s="10">
        <v>823.0</v>
      </c>
      <c r="J43" s="11" t="s">
        <v>629</v>
      </c>
      <c r="K43" s="11" t="s">
        <v>130</v>
      </c>
      <c r="L43" s="11" t="s">
        <v>207</v>
      </c>
      <c r="M43" s="10">
        <v>18.0</v>
      </c>
      <c r="N43" s="10">
        <v>823.0</v>
      </c>
      <c r="O43" s="10">
        <v>4224.0</v>
      </c>
      <c r="P43" s="11" t="s">
        <v>751</v>
      </c>
      <c r="Q43" s="11" t="s">
        <v>136</v>
      </c>
      <c r="R43" s="13">
        <v>45920.0</v>
      </c>
      <c r="S43" s="11" t="s">
        <v>137</v>
      </c>
      <c r="T43" s="14"/>
      <c r="U43" s="13">
        <v>46265.0</v>
      </c>
      <c r="W43" s="11" t="s">
        <v>143</v>
      </c>
      <c r="X43" s="14"/>
      <c r="Y43" s="11" t="s">
        <v>145</v>
      </c>
      <c r="Z43" s="10">
        <v>15.0</v>
      </c>
      <c r="AA43" s="10">
        <v>801.0</v>
      </c>
      <c r="AB43" s="14"/>
      <c r="AC43" s="14"/>
      <c r="AD43" s="11" t="s">
        <v>147</v>
      </c>
      <c r="AE43" s="11" t="s">
        <v>149</v>
      </c>
      <c r="AF43" s="14"/>
      <c r="AG43" s="13">
        <v>46198.0</v>
      </c>
      <c r="AH43" s="13">
        <v>46265.0</v>
      </c>
      <c r="AI43" s="14"/>
      <c r="AJ43" s="10">
        <v>11418.0</v>
      </c>
      <c r="AK43" s="14"/>
      <c r="AL43" s="14"/>
      <c r="AM43" s="14"/>
      <c r="AN43" s="14"/>
      <c r="AO43" s="11">
        <v>4.30697235914E14</v>
      </c>
      <c r="AP43" s="11" t="s">
        <v>136</v>
      </c>
      <c r="AQ43" s="11" t="s">
        <v>136</v>
      </c>
      <c r="AR43" s="14"/>
      <c r="AS43" s="14"/>
      <c r="AT43" s="11" t="s">
        <v>219</v>
      </c>
      <c r="AU43" s="11" t="s">
        <v>160</v>
      </c>
      <c r="AV43" s="11" t="s">
        <v>162</v>
      </c>
      <c r="AW43" s="11" t="s">
        <v>755</v>
      </c>
      <c r="AX43" s="11">
        <v>5.62190331E8</v>
      </c>
      <c r="AY43" s="11" t="s">
        <v>756</v>
      </c>
      <c r="AZ43" s="11">
        <v>8.2359598134E10</v>
      </c>
      <c r="BA43" s="11" t="s">
        <v>758</v>
      </c>
      <c r="BB43" s="11" t="s">
        <v>227</v>
      </c>
    </row>
    <row r="44">
      <c r="A44" s="10">
        <v>194232.0</v>
      </c>
      <c r="B44" s="11" t="s">
        <v>171</v>
      </c>
      <c r="C44" s="11">
        <v>8.9628450401E10</v>
      </c>
      <c r="D44" s="11" t="s">
        <v>760</v>
      </c>
      <c r="E44" s="11" t="s">
        <v>41</v>
      </c>
      <c r="F44" s="11" t="s">
        <v>122</v>
      </c>
      <c r="G44" s="11" t="s">
        <v>762</v>
      </c>
      <c r="H44" s="13">
        <v>37671.0</v>
      </c>
      <c r="I44" s="10">
        <v>773.0</v>
      </c>
      <c r="J44" s="11" t="s">
        <v>128</v>
      </c>
      <c r="K44" s="11" t="s">
        <v>292</v>
      </c>
      <c r="L44" s="11" t="s">
        <v>207</v>
      </c>
      <c r="M44" s="10">
        <v>10.0</v>
      </c>
      <c r="N44" s="10">
        <v>690.0</v>
      </c>
      <c r="O44" s="10">
        <v>1955.0</v>
      </c>
      <c r="P44" s="11" t="s">
        <v>763</v>
      </c>
      <c r="Q44" s="11" t="s">
        <v>136</v>
      </c>
      <c r="R44" s="13">
        <v>45934.0</v>
      </c>
      <c r="S44" s="11" t="s">
        <v>137</v>
      </c>
      <c r="T44" s="14"/>
      <c r="U44" s="13">
        <v>46265.0</v>
      </c>
      <c r="W44" s="14"/>
      <c r="X44" s="14"/>
      <c r="Y44" s="11" t="s">
        <v>145</v>
      </c>
      <c r="Z44" s="10">
        <v>10.0</v>
      </c>
      <c r="AA44" s="10">
        <v>690.0</v>
      </c>
      <c r="AB44" s="14"/>
      <c r="AC44" s="14"/>
      <c r="AD44" s="11" t="s">
        <v>147</v>
      </c>
      <c r="AE44" s="11" t="s">
        <v>149</v>
      </c>
      <c r="AF44" s="14"/>
      <c r="AG44" s="13">
        <v>46228.0</v>
      </c>
      <c r="AH44" s="13">
        <v>46265.0</v>
      </c>
      <c r="AI44" s="14"/>
      <c r="AJ44" s="10">
        <v>11676.0</v>
      </c>
      <c r="AK44" s="14"/>
      <c r="AL44" s="14"/>
      <c r="AM44" s="14"/>
      <c r="AN44" s="14"/>
      <c r="AO44" s="11">
        <v>9.91185851626E14</v>
      </c>
      <c r="AP44" s="11" t="s">
        <v>136</v>
      </c>
      <c r="AQ44" s="11" t="s">
        <v>136</v>
      </c>
      <c r="AR44" s="14"/>
      <c r="AS44" s="14"/>
      <c r="AT44" s="11" t="s">
        <v>219</v>
      </c>
      <c r="AU44" s="11" t="s">
        <v>160</v>
      </c>
      <c r="AV44" s="11" t="s">
        <v>779</v>
      </c>
      <c r="AW44" s="11" t="s">
        <v>781</v>
      </c>
      <c r="AX44" s="11">
        <v>1.430021384092E12</v>
      </c>
      <c r="AY44" s="11" t="s">
        <v>782</v>
      </c>
      <c r="AZ44" s="11">
        <v>8.999888696E9</v>
      </c>
      <c r="BA44" s="11" t="s">
        <v>783</v>
      </c>
      <c r="BB44" s="11" t="s">
        <v>227</v>
      </c>
    </row>
    <row r="45">
      <c r="A45" s="10">
        <v>195008.0</v>
      </c>
      <c r="B45" s="11" t="s">
        <v>174</v>
      </c>
      <c r="C45" s="11">
        <v>8.9538117079E11</v>
      </c>
      <c r="D45" s="11" t="s">
        <v>785</v>
      </c>
      <c r="E45" s="11" t="s">
        <v>41</v>
      </c>
      <c r="F45" s="11" t="s">
        <v>122</v>
      </c>
      <c r="G45" s="11" t="s">
        <v>786</v>
      </c>
      <c r="H45" s="13">
        <v>36678.0</v>
      </c>
      <c r="I45" s="10">
        <v>725.0</v>
      </c>
      <c r="J45" s="11" t="s">
        <v>128</v>
      </c>
      <c r="K45" s="11" t="s">
        <v>392</v>
      </c>
      <c r="L45" s="11" t="s">
        <v>131</v>
      </c>
      <c r="M45" s="10">
        <v>13.0</v>
      </c>
      <c r="N45" s="10">
        <v>757.0</v>
      </c>
      <c r="O45" s="10">
        <v>3191.0</v>
      </c>
      <c r="P45" s="11" t="s">
        <v>788</v>
      </c>
      <c r="Q45" s="11" t="s">
        <v>136</v>
      </c>
      <c r="R45" s="13">
        <v>45938.0</v>
      </c>
      <c r="S45" s="11" t="s">
        <v>137</v>
      </c>
      <c r="T45" s="14"/>
      <c r="U45" s="13">
        <v>46265.0</v>
      </c>
      <c r="W45" s="14"/>
      <c r="X45" s="14"/>
      <c r="Y45" s="11" t="s">
        <v>145</v>
      </c>
      <c r="Z45" s="10">
        <v>13.0</v>
      </c>
      <c r="AA45" s="10">
        <v>746.0</v>
      </c>
      <c r="AB45" s="14"/>
      <c r="AC45" s="14"/>
      <c r="AD45" s="11" t="s">
        <v>147</v>
      </c>
      <c r="AE45" s="11" t="s">
        <v>149</v>
      </c>
      <c r="AF45" s="14"/>
      <c r="AG45" s="13">
        <v>46228.0</v>
      </c>
      <c r="AH45" s="13">
        <v>46265.0</v>
      </c>
      <c r="AI45" s="14"/>
      <c r="AJ45" s="10">
        <v>11130.0</v>
      </c>
      <c r="AK45" s="14"/>
      <c r="AL45" s="14"/>
      <c r="AM45" s="14"/>
      <c r="AN45" s="14"/>
      <c r="AO45" s="14"/>
      <c r="AP45" s="11" t="s">
        <v>136</v>
      </c>
      <c r="AQ45" s="11" t="s">
        <v>136</v>
      </c>
      <c r="AR45" s="14"/>
      <c r="AS45" s="14"/>
      <c r="AT45" s="11" t="s">
        <v>219</v>
      </c>
      <c r="AU45" s="11" t="s">
        <v>160</v>
      </c>
      <c r="AV45" s="11" t="s">
        <v>162</v>
      </c>
      <c r="AW45" s="11" t="s">
        <v>797</v>
      </c>
      <c r="AX45" s="11">
        <v>3.440526046E9</v>
      </c>
      <c r="AY45" s="14"/>
      <c r="AZ45" s="14"/>
      <c r="BA45" s="14"/>
      <c r="BB45" s="14"/>
    </row>
    <row r="46">
      <c r="A46" s="10">
        <v>195315.0</v>
      </c>
      <c r="B46" s="11" t="s">
        <v>175</v>
      </c>
      <c r="C46" s="11">
        <v>8.5726532701E10</v>
      </c>
      <c r="D46" s="11" t="s">
        <v>799</v>
      </c>
      <c r="E46" s="11" t="s">
        <v>41</v>
      </c>
      <c r="F46" s="11" t="s">
        <v>122</v>
      </c>
      <c r="G46" s="11" t="s">
        <v>802</v>
      </c>
      <c r="H46" s="13">
        <v>35754.0</v>
      </c>
      <c r="I46" s="10">
        <v>726.0</v>
      </c>
      <c r="J46" s="11" t="s">
        <v>128</v>
      </c>
      <c r="K46" s="11" t="s">
        <v>392</v>
      </c>
      <c r="L46" s="11" t="s">
        <v>131</v>
      </c>
      <c r="M46" s="10">
        <v>13.0</v>
      </c>
      <c r="N46" s="10">
        <v>726.0</v>
      </c>
      <c r="O46" s="10">
        <v>2676.0</v>
      </c>
      <c r="P46" s="11" t="s">
        <v>806</v>
      </c>
      <c r="Q46" s="11" t="s">
        <v>136</v>
      </c>
      <c r="R46" s="13">
        <v>45940.0</v>
      </c>
      <c r="S46" s="11" t="s">
        <v>137</v>
      </c>
      <c r="T46" s="14"/>
      <c r="U46" s="13">
        <v>46265.0</v>
      </c>
      <c r="W46" s="14"/>
      <c r="X46" s="14"/>
      <c r="Y46" s="11" t="s">
        <v>145</v>
      </c>
      <c r="Z46" s="10">
        <v>13.0</v>
      </c>
      <c r="AA46" s="10">
        <v>726.0</v>
      </c>
      <c r="AB46" s="14"/>
      <c r="AC46" s="14"/>
      <c r="AD46" s="11" t="s">
        <v>147</v>
      </c>
      <c r="AE46" s="11" t="s">
        <v>149</v>
      </c>
      <c r="AF46" s="14"/>
      <c r="AG46" s="13">
        <v>46228.0</v>
      </c>
      <c r="AH46" s="13">
        <v>46265.0</v>
      </c>
      <c r="AI46" s="14"/>
      <c r="AJ46" s="10">
        <v>11143.0</v>
      </c>
      <c r="AK46" s="14"/>
      <c r="AL46" s="14"/>
      <c r="AM46" s="14"/>
      <c r="AN46" s="14"/>
      <c r="AO46" s="14"/>
      <c r="AP46" s="11" t="s">
        <v>136</v>
      </c>
      <c r="AQ46" s="11" t="s">
        <v>136</v>
      </c>
      <c r="AR46" s="14"/>
      <c r="AS46" s="14"/>
      <c r="AT46" s="11" t="s">
        <v>219</v>
      </c>
      <c r="AU46" s="11" t="s">
        <v>160</v>
      </c>
      <c r="AV46" s="11" t="s">
        <v>162</v>
      </c>
      <c r="AW46" s="11" t="s">
        <v>175</v>
      </c>
      <c r="AX46" s="11">
        <v>1.801135019E9</v>
      </c>
      <c r="AY46" s="14"/>
      <c r="AZ46" s="14"/>
      <c r="BA46" s="14"/>
      <c r="BB46" s="14"/>
    </row>
    <row r="47">
      <c r="A47" s="10">
        <v>196051.0</v>
      </c>
      <c r="B47" s="11" t="s">
        <v>178</v>
      </c>
      <c r="C47" s="11">
        <v>8.5814632383E10</v>
      </c>
      <c r="D47" s="11" t="s">
        <v>813</v>
      </c>
      <c r="E47" s="11" t="s">
        <v>814</v>
      </c>
      <c r="F47" s="11" t="s">
        <v>122</v>
      </c>
      <c r="G47" s="11" t="s">
        <v>816</v>
      </c>
      <c r="H47" s="13">
        <v>36911.0</v>
      </c>
      <c r="I47" s="10">
        <v>694.0</v>
      </c>
      <c r="J47" s="11" t="s">
        <v>128</v>
      </c>
      <c r="K47" s="14"/>
      <c r="L47" s="11" t="s">
        <v>207</v>
      </c>
      <c r="M47" s="10">
        <v>11.0</v>
      </c>
      <c r="N47" s="10">
        <v>694.0</v>
      </c>
      <c r="O47" s="10">
        <v>2003.0</v>
      </c>
      <c r="P47" s="11" t="s">
        <v>819</v>
      </c>
      <c r="Q47" s="11" t="s">
        <v>136</v>
      </c>
      <c r="R47" s="13">
        <v>45925.0</v>
      </c>
      <c r="S47" s="11" t="s">
        <v>137</v>
      </c>
      <c r="T47" s="14"/>
      <c r="U47" s="13">
        <v>46265.0</v>
      </c>
      <c r="W47" s="11" t="s">
        <v>143</v>
      </c>
      <c r="X47" s="14"/>
      <c r="Y47" s="11" t="s">
        <v>145</v>
      </c>
      <c r="Z47" s="10">
        <v>11.0</v>
      </c>
      <c r="AA47" s="10">
        <v>693.0</v>
      </c>
      <c r="AB47" s="10">
        <v>1992.0</v>
      </c>
      <c r="AC47" s="14"/>
      <c r="AD47" s="11" t="s">
        <v>147</v>
      </c>
      <c r="AE47" s="11" t="s">
        <v>823</v>
      </c>
      <c r="AF47" s="11" t="s">
        <v>824</v>
      </c>
      <c r="AG47" s="13">
        <v>46198.0</v>
      </c>
      <c r="AH47" s="13">
        <v>46265.0</v>
      </c>
      <c r="AI47" s="14"/>
      <c r="AJ47" s="10">
        <v>11451.0</v>
      </c>
      <c r="AK47" s="14"/>
      <c r="AL47" s="11" t="s">
        <v>713</v>
      </c>
      <c r="AM47" s="11">
        <v>2.5060601504E10</v>
      </c>
      <c r="AN47" s="11">
        <v>2.307130334E9</v>
      </c>
      <c r="AO47" s="14"/>
      <c r="AP47" s="11" t="s">
        <v>136</v>
      </c>
      <c r="AQ47" s="11" t="s">
        <v>136</v>
      </c>
      <c r="AR47" s="14"/>
      <c r="AS47" s="14"/>
      <c r="AT47" s="14"/>
      <c r="AU47" s="11" t="s">
        <v>160</v>
      </c>
      <c r="AV47" s="11" t="s">
        <v>162</v>
      </c>
      <c r="AW47" s="11" t="s">
        <v>830</v>
      </c>
      <c r="AX47" s="11">
        <v>2.74069873E9</v>
      </c>
      <c r="AY47" s="14"/>
      <c r="AZ47" s="14"/>
      <c r="BA47" s="14"/>
      <c r="BB47" s="14"/>
    </row>
    <row r="48">
      <c r="A48" s="10">
        <v>198542.0</v>
      </c>
      <c r="B48" s="11" t="s">
        <v>180</v>
      </c>
      <c r="C48" s="11">
        <v>8.9524367514E10</v>
      </c>
      <c r="D48" s="11" t="s">
        <v>833</v>
      </c>
      <c r="E48" s="11" t="s">
        <v>41</v>
      </c>
      <c r="F48" s="11" t="s">
        <v>122</v>
      </c>
      <c r="G48" s="11" t="s">
        <v>834</v>
      </c>
      <c r="H48" s="13">
        <v>38319.0</v>
      </c>
      <c r="I48" s="10">
        <v>710.0</v>
      </c>
      <c r="J48" s="11" t="s">
        <v>128</v>
      </c>
      <c r="K48" s="11" t="s">
        <v>392</v>
      </c>
      <c r="L48" s="11" t="s">
        <v>207</v>
      </c>
      <c r="M48" s="10">
        <v>20.0</v>
      </c>
      <c r="N48" s="10">
        <v>864.0</v>
      </c>
      <c r="O48" s="14"/>
      <c r="P48" s="11" t="s">
        <v>837</v>
      </c>
      <c r="Q48" s="11" t="s">
        <v>136</v>
      </c>
      <c r="R48" s="13">
        <v>45957.0</v>
      </c>
      <c r="S48" s="11" t="s">
        <v>137</v>
      </c>
      <c r="T48" s="14"/>
      <c r="U48" s="13">
        <v>46265.0</v>
      </c>
      <c r="W48" s="11" t="s">
        <v>143</v>
      </c>
      <c r="X48" s="14"/>
      <c r="Y48" s="14"/>
      <c r="Z48" s="10">
        <v>20.0</v>
      </c>
      <c r="AA48" s="10">
        <v>857.0</v>
      </c>
      <c r="AB48" s="10">
        <v>4656.0</v>
      </c>
      <c r="AC48" s="14"/>
      <c r="AD48" s="11" t="s">
        <v>147</v>
      </c>
      <c r="AE48" s="11" t="s">
        <v>149</v>
      </c>
      <c r="AF48" s="14"/>
      <c r="AG48" s="13">
        <v>46228.0</v>
      </c>
      <c r="AH48" s="13">
        <v>46265.0</v>
      </c>
      <c r="AI48" s="14"/>
      <c r="AJ48" s="10">
        <v>12512.0</v>
      </c>
      <c r="AK48" s="14"/>
      <c r="AL48" s="14"/>
      <c r="AM48" s="14"/>
      <c r="AN48" s="14"/>
      <c r="AO48" s="11">
        <v>3.97576190016E14</v>
      </c>
      <c r="AP48" s="11" t="s">
        <v>136</v>
      </c>
      <c r="AQ48" s="11" t="s">
        <v>136</v>
      </c>
      <c r="AR48" s="14"/>
      <c r="AS48" s="14"/>
      <c r="AT48" s="11" t="s">
        <v>219</v>
      </c>
      <c r="AU48" s="11" t="s">
        <v>160</v>
      </c>
      <c r="AV48" s="11" t="s">
        <v>846</v>
      </c>
      <c r="AW48" s="11" t="s">
        <v>848</v>
      </c>
      <c r="AX48" s="11">
        <v>1.821399402E9</v>
      </c>
      <c r="AY48" s="14"/>
      <c r="AZ48" s="14"/>
      <c r="BA48" s="14"/>
      <c r="BB48" s="14"/>
    </row>
    <row r="49">
      <c r="A49" s="10">
        <v>204244.0</v>
      </c>
      <c r="B49" s="11" t="s">
        <v>182</v>
      </c>
      <c r="C49" s="11">
        <v>8.3111617926E10</v>
      </c>
      <c r="D49" s="11" t="s">
        <v>850</v>
      </c>
      <c r="E49" s="11" t="s">
        <v>41</v>
      </c>
      <c r="F49" s="11" t="s">
        <v>265</v>
      </c>
      <c r="G49" s="11" t="s">
        <v>853</v>
      </c>
      <c r="H49" s="13">
        <v>36256.0</v>
      </c>
      <c r="I49" s="10">
        <v>718.0</v>
      </c>
      <c r="J49" s="11" t="s">
        <v>128</v>
      </c>
      <c r="K49" s="11" t="s">
        <v>333</v>
      </c>
      <c r="L49" s="11" t="s">
        <v>207</v>
      </c>
      <c r="M49" s="10">
        <v>12.0</v>
      </c>
      <c r="N49" s="10">
        <v>701.0</v>
      </c>
      <c r="O49" s="10">
        <v>2146.0</v>
      </c>
      <c r="P49" s="11" t="s">
        <v>858</v>
      </c>
      <c r="Q49" s="11" t="s">
        <v>136</v>
      </c>
      <c r="R49" s="13">
        <v>45996.0</v>
      </c>
      <c r="S49" s="11" t="s">
        <v>137</v>
      </c>
      <c r="T49" s="14"/>
      <c r="U49" s="13">
        <v>46265.0</v>
      </c>
      <c r="W49" s="14"/>
      <c r="X49" s="14"/>
      <c r="Y49" s="11" t="s">
        <v>861</v>
      </c>
      <c r="Z49" s="10">
        <v>12.0</v>
      </c>
      <c r="AA49" s="10">
        <v>718.0</v>
      </c>
      <c r="AB49" s="10">
        <v>2567.0</v>
      </c>
      <c r="AC49" s="14"/>
      <c r="AD49" s="11" t="s">
        <v>147</v>
      </c>
      <c r="AE49" s="11" t="s">
        <v>149</v>
      </c>
      <c r="AF49" s="14"/>
      <c r="AG49" s="13">
        <v>46198.0</v>
      </c>
      <c r="AH49" s="13">
        <v>46265.0</v>
      </c>
      <c r="AI49" s="14"/>
      <c r="AJ49" s="10">
        <v>12789.0</v>
      </c>
      <c r="AK49" s="14"/>
      <c r="AL49" s="14"/>
      <c r="AM49" s="11">
        <v>2.5175864583E10</v>
      </c>
      <c r="AN49" s="11">
        <v>2.5175864583E10</v>
      </c>
      <c r="AO49" s="11">
        <v>9.41879272145E14</v>
      </c>
      <c r="AP49" s="11" t="s">
        <v>136</v>
      </c>
      <c r="AQ49" s="11" t="s">
        <v>136</v>
      </c>
      <c r="AR49" s="14"/>
      <c r="AS49" s="14"/>
      <c r="AT49" s="11" t="s">
        <v>219</v>
      </c>
      <c r="AU49" s="11" t="s">
        <v>160</v>
      </c>
      <c r="AV49" s="11" t="s">
        <v>162</v>
      </c>
      <c r="AW49" s="11" t="s">
        <v>182</v>
      </c>
      <c r="AX49" s="11">
        <v>8.101192474E9</v>
      </c>
      <c r="AY49" s="11" t="s">
        <v>867</v>
      </c>
      <c r="AZ49" s="11">
        <v>8.9656168279E10</v>
      </c>
      <c r="BA49" s="11" t="s">
        <v>868</v>
      </c>
      <c r="BB49" s="11" t="s">
        <v>227</v>
      </c>
    </row>
    <row r="50">
      <c r="A50" s="10">
        <v>204422.0</v>
      </c>
      <c r="B50" s="11" t="s">
        <v>183</v>
      </c>
      <c r="C50" s="11">
        <v>8.9507427397E10</v>
      </c>
      <c r="D50" s="11" t="s">
        <v>872</v>
      </c>
      <c r="E50" s="11" t="s">
        <v>41</v>
      </c>
      <c r="F50" s="11" t="s">
        <v>122</v>
      </c>
      <c r="G50" s="11" t="s">
        <v>874</v>
      </c>
      <c r="H50" s="13">
        <v>35383.0</v>
      </c>
      <c r="I50" s="10">
        <v>718.0</v>
      </c>
      <c r="J50" s="11" t="s">
        <v>128</v>
      </c>
      <c r="K50" s="11" t="s">
        <v>292</v>
      </c>
      <c r="L50" s="11" t="s">
        <v>207</v>
      </c>
      <c r="M50" s="10">
        <v>12.0</v>
      </c>
      <c r="N50" s="10">
        <v>718.0</v>
      </c>
      <c r="O50" s="10">
        <v>2560.0</v>
      </c>
      <c r="P50" s="11" t="s">
        <v>877</v>
      </c>
      <c r="Q50" s="11" t="s">
        <v>136</v>
      </c>
      <c r="R50" s="13">
        <v>45996.0</v>
      </c>
      <c r="S50" s="11" t="s">
        <v>137</v>
      </c>
      <c r="T50" s="14"/>
      <c r="U50" s="13">
        <v>46265.0</v>
      </c>
      <c r="W50" s="11" t="s">
        <v>143</v>
      </c>
      <c r="X50" s="14"/>
      <c r="Y50" s="11" t="s">
        <v>861</v>
      </c>
      <c r="Z50" s="10">
        <v>12.0</v>
      </c>
      <c r="AA50" s="10">
        <v>718.0</v>
      </c>
      <c r="AB50" s="10">
        <v>2574.0</v>
      </c>
      <c r="AC50" s="14"/>
      <c r="AD50" s="11" t="s">
        <v>147</v>
      </c>
      <c r="AE50" s="11" t="s">
        <v>149</v>
      </c>
      <c r="AF50" s="14"/>
      <c r="AG50" s="13">
        <v>46198.0</v>
      </c>
      <c r="AH50" s="13">
        <v>46265.0</v>
      </c>
      <c r="AI50" s="14"/>
      <c r="AJ50" s="10">
        <v>11058.0</v>
      </c>
      <c r="AK50" s="14"/>
      <c r="AL50" s="14"/>
      <c r="AM50" s="14"/>
      <c r="AN50" s="11">
        <v>5.06670592E8</v>
      </c>
      <c r="AO50" s="11">
        <v>9.38428240423E14</v>
      </c>
      <c r="AP50" s="11" t="s">
        <v>136</v>
      </c>
      <c r="AQ50" s="11" t="s">
        <v>136</v>
      </c>
      <c r="AR50" s="14"/>
      <c r="AS50" s="14"/>
      <c r="AT50" s="11" t="s">
        <v>219</v>
      </c>
      <c r="AU50" s="11" t="s">
        <v>160</v>
      </c>
      <c r="AV50" s="11" t="s">
        <v>779</v>
      </c>
      <c r="AW50" s="11" t="s">
        <v>183</v>
      </c>
      <c r="AX50" s="11">
        <v>1.310020987097E12</v>
      </c>
      <c r="AY50" s="11" t="s">
        <v>886</v>
      </c>
      <c r="AZ50" s="11">
        <v>8.5524793334E10</v>
      </c>
      <c r="BA50" s="11" t="s">
        <v>888</v>
      </c>
      <c r="BB50" s="11" t="s">
        <v>198</v>
      </c>
    </row>
    <row r="51">
      <c r="A51" s="10">
        <v>205574.0</v>
      </c>
      <c r="B51" s="11" t="s">
        <v>185</v>
      </c>
      <c r="C51" s="11">
        <v>8.7731284107E10</v>
      </c>
      <c r="D51" s="11" t="s">
        <v>890</v>
      </c>
      <c r="E51" s="11" t="s">
        <v>41</v>
      </c>
      <c r="F51" s="11" t="s">
        <v>122</v>
      </c>
      <c r="G51" s="11" t="s">
        <v>893</v>
      </c>
      <c r="H51" s="13">
        <v>38996.0</v>
      </c>
      <c r="I51" s="10">
        <v>774.0</v>
      </c>
      <c r="J51" s="11" t="s">
        <v>128</v>
      </c>
      <c r="K51" s="11" t="s">
        <v>392</v>
      </c>
      <c r="L51" s="11" t="s">
        <v>207</v>
      </c>
      <c r="M51" s="10">
        <v>15.0</v>
      </c>
      <c r="N51" s="10">
        <v>774.0</v>
      </c>
      <c r="O51" s="10">
        <v>3509.0</v>
      </c>
      <c r="P51" s="11" t="s">
        <v>896</v>
      </c>
      <c r="Q51" s="11" t="s">
        <v>136</v>
      </c>
      <c r="R51" s="13">
        <v>46000.0</v>
      </c>
      <c r="S51" s="11" t="s">
        <v>137</v>
      </c>
      <c r="T51" s="14"/>
      <c r="U51" s="13">
        <v>46265.0</v>
      </c>
      <c r="W51" s="14"/>
      <c r="X51" s="14"/>
      <c r="Y51" s="11" t="s">
        <v>861</v>
      </c>
      <c r="Z51" s="10">
        <v>15.0</v>
      </c>
      <c r="AA51" s="10">
        <v>774.0</v>
      </c>
      <c r="AB51" s="10">
        <v>3499.0</v>
      </c>
      <c r="AC51" s="14"/>
      <c r="AD51" s="11" t="s">
        <v>147</v>
      </c>
      <c r="AE51" s="11" t="s">
        <v>149</v>
      </c>
      <c r="AF51" s="14"/>
      <c r="AG51" s="13">
        <v>46198.0</v>
      </c>
      <c r="AH51" s="13">
        <v>46265.0</v>
      </c>
      <c r="AI51" s="14"/>
      <c r="AJ51" s="10">
        <v>12827.0</v>
      </c>
      <c r="AK51" s="14"/>
      <c r="AL51" s="14"/>
      <c r="AM51" s="14"/>
      <c r="AN51" s="11">
        <v>3.340836573E9</v>
      </c>
      <c r="AO51" s="11" t="s">
        <v>893</v>
      </c>
      <c r="AP51" s="11" t="s">
        <v>136</v>
      </c>
      <c r="AQ51" s="11" t="s">
        <v>136</v>
      </c>
      <c r="AR51" s="14"/>
      <c r="AS51" s="14"/>
      <c r="AT51" s="11" t="s">
        <v>219</v>
      </c>
      <c r="AU51" s="11" t="s">
        <v>160</v>
      </c>
      <c r="AV51" s="11" t="s">
        <v>162</v>
      </c>
      <c r="AW51" s="11" t="s">
        <v>904</v>
      </c>
      <c r="AX51" s="11">
        <v>2.631238621E9</v>
      </c>
      <c r="AY51" s="11" t="s">
        <v>906</v>
      </c>
      <c r="AZ51" s="11">
        <v>8.5933151574E10</v>
      </c>
      <c r="BA51" s="11" t="s">
        <v>908</v>
      </c>
      <c r="BB51" s="11" t="s">
        <v>227</v>
      </c>
    </row>
    <row r="52">
      <c r="A52" s="10">
        <v>206205.0</v>
      </c>
      <c r="B52" s="11" t="s">
        <v>186</v>
      </c>
      <c r="C52" s="11">
        <v>8.5349514526E10</v>
      </c>
      <c r="D52" s="11" t="s">
        <v>910</v>
      </c>
      <c r="E52" s="11" t="s">
        <v>41</v>
      </c>
      <c r="F52" s="11" t="s">
        <v>122</v>
      </c>
      <c r="G52" s="11" t="s">
        <v>912</v>
      </c>
      <c r="H52" s="13">
        <v>38831.0</v>
      </c>
      <c r="I52" s="10">
        <v>901.0</v>
      </c>
      <c r="J52" s="11" t="s">
        <v>128</v>
      </c>
      <c r="K52" s="11" t="s">
        <v>706</v>
      </c>
      <c r="L52" s="11" t="s">
        <v>207</v>
      </c>
      <c r="M52" s="10">
        <v>23.0</v>
      </c>
      <c r="N52" s="10">
        <v>901.0</v>
      </c>
      <c r="O52" s="10">
        <v>5159.0</v>
      </c>
      <c r="P52" s="11" t="s">
        <v>915</v>
      </c>
      <c r="Q52" s="11" t="s">
        <v>136</v>
      </c>
      <c r="R52" s="13">
        <v>46002.0</v>
      </c>
      <c r="S52" s="11" t="s">
        <v>137</v>
      </c>
      <c r="T52" s="14"/>
      <c r="U52" s="13">
        <v>46265.0</v>
      </c>
      <c r="W52" s="14"/>
      <c r="X52" s="14"/>
      <c r="Y52" s="11" t="s">
        <v>861</v>
      </c>
      <c r="Z52" s="10">
        <v>23.0</v>
      </c>
      <c r="AA52" s="10">
        <v>901.0</v>
      </c>
      <c r="AB52" s="10">
        <v>5158.0</v>
      </c>
      <c r="AC52" s="14"/>
      <c r="AD52" s="11" t="s">
        <v>147</v>
      </c>
      <c r="AE52" s="11" t="s">
        <v>149</v>
      </c>
      <c r="AF52" s="14"/>
      <c r="AG52" s="13">
        <v>46198.0</v>
      </c>
      <c r="AH52" s="13">
        <v>46265.0</v>
      </c>
      <c r="AI52" s="14"/>
      <c r="AJ52" s="10">
        <v>11119.0</v>
      </c>
      <c r="AK52" s="14"/>
      <c r="AL52" s="14"/>
      <c r="AM52" s="14"/>
      <c r="AN52" s="14"/>
      <c r="AO52" s="14"/>
      <c r="AP52" s="11" t="s">
        <v>136</v>
      </c>
      <c r="AQ52" s="11" t="s">
        <v>136</v>
      </c>
      <c r="AR52" s="14"/>
      <c r="AS52" s="14"/>
      <c r="AT52" s="14"/>
      <c r="AU52" s="11" t="s">
        <v>160</v>
      </c>
      <c r="AV52" s="11" t="s">
        <v>162</v>
      </c>
      <c r="AW52" s="11" t="s">
        <v>923</v>
      </c>
      <c r="AX52" s="11">
        <v>6.585260766E9</v>
      </c>
      <c r="AY52" s="11" t="s">
        <v>925</v>
      </c>
      <c r="AZ52" s="11">
        <v>8.5355958903E10</v>
      </c>
      <c r="BA52" s="11" t="s">
        <v>927</v>
      </c>
      <c r="BB52" s="11" t="s">
        <v>198</v>
      </c>
    </row>
    <row r="53">
      <c r="A53" s="10">
        <v>208420.0</v>
      </c>
      <c r="B53" s="11" t="s">
        <v>187</v>
      </c>
      <c r="C53" s="11">
        <v>8.8804268618E10</v>
      </c>
      <c r="D53" s="11" t="s">
        <v>929</v>
      </c>
      <c r="E53" s="11" t="s">
        <v>41</v>
      </c>
      <c r="F53" s="11" t="s">
        <v>122</v>
      </c>
      <c r="G53" s="11" t="s">
        <v>932</v>
      </c>
      <c r="H53" s="13">
        <v>34969.0</v>
      </c>
      <c r="I53" s="10">
        <v>902.0</v>
      </c>
      <c r="J53" s="11" t="s">
        <v>128</v>
      </c>
      <c r="K53" s="11" t="s">
        <v>333</v>
      </c>
      <c r="L53" s="11" t="s">
        <v>207</v>
      </c>
      <c r="M53" s="10">
        <v>22.0</v>
      </c>
      <c r="N53" s="10">
        <v>892.0</v>
      </c>
      <c r="O53" s="10">
        <v>5062.0</v>
      </c>
      <c r="P53" s="11" t="s">
        <v>935</v>
      </c>
      <c r="Q53" s="11" t="s">
        <v>136</v>
      </c>
      <c r="R53" s="13">
        <v>46008.0</v>
      </c>
      <c r="S53" s="11" t="s">
        <v>137</v>
      </c>
      <c r="T53" s="14"/>
      <c r="U53" s="13">
        <v>46265.0</v>
      </c>
      <c r="W53" s="11" t="s">
        <v>143</v>
      </c>
      <c r="X53" s="14"/>
      <c r="Y53" s="11" t="s">
        <v>861</v>
      </c>
      <c r="Z53" s="10">
        <v>22.0</v>
      </c>
      <c r="AA53" s="10">
        <v>892.0</v>
      </c>
      <c r="AB53" s="10">
        <v>5062.0</v>
      </c>
      <c r="AC53" s="14"/>
      <c r="AD53" s="11" t="s">
        <v>147</v>
      </c>
      <c r="AE53" s="11" t="s">
        <v>149</v>
      </c>
      <c r="AF53" s="14"/>
      <c r="AG53" s="13">
        <v>46198.0</v>
      </c>
      <c r="AH53" s="13">
        <v>46265.0</v>
      </c>
      <c r="AI53" s="14"/>
      <c r="AJ53" s="10">
        <v>11061.0</v>
      </c>
      <c r="AK53" s="14"/>
      <c r="AL53" s="14"/>
      <c r="AM53" s="14"/>
      <c r="AN53" s="14"/>
      <c r="AO53" s="14"/>
      <c r="AP53" s="11" t="s">
        <v>136</v>
      </c>
      <c r="AQ53" s="11" t="s">
        <v>136</v>
      </c>
      <c r="AR53" s="14"/>
      <c r="AS53" s="14"/>
      <c r="AT53" s="14"/>
      <c r="AU53" s="11" t="s">
        <v>160</v>
      </c>
      <c r="AV53" s="11" t="s">
        <v>162</v>
      </c>
      <c r="AW53" s="11" t="s">
        <v>187</v>
      </c>
      <c r="AX53" s="11">
        <v>1.912978251E9</v>
      </c>
      <c r="AY53" s="11" t="s">
        <v>943</v>
      </c>
      <c r="AZ53" s="11">
        <v>8.5249465257E10</v>
      </c>
      <c r="BA53" s="11" t="s">
        <v>945</v>
      </c>
      <c r="BB53" s="11" t="s">
        <v>227</v>
      </c>
    </row>
    <row r="54">
      <c r="A54" s="10">
        <v>208471.0</v>
      </c>
      <c r="B54" s="11" t="s">
        <v>188</v>
      </c>
      <c r="C54" s="11">
        <v>8.1235652785E10</v>
      </c>
      <c r="D54" s="11" t="s">
        <v>947</v>
      </c>
      <c r="E54" s="11" t="s">
        <v>41</v>
      </c>
      <c r="F54" s="11" t="s">
        <v>265</v>
      </c>
      <c r="G54" s="11" t="s">
        <v>948</v>
      </c>
      <c r="H54" s="13">
        <v>31317.0</v>
      </c>
      <c r="I54" s="10">
        <v>772.0</v>
      </c>
      <c r="J54" s="11" t="s">
        <v>419</v>
      </c>
      <c r="K54" s="11" t="s">
        <v>130</v>
      </c>
      <c r="L54" s="11" t="s">
        <v>131</v>
      </c>
      <c r="M54" s="10">
        <v>15.0</v>
      </c>
      <c r="N54" s="10">
        <v>773.0</v>
      </c>
      <c r="O54" s="10">
        <v>3462.0</v>
      </c>
      <c r="P54" s="11" t="s">
        <v>953</v>
      </c>
      <c r="Q54" s="11" t="s">
        <v>136</v>
      </c>
      <c r="R54" s="13">
        <v>46008.0</v>
      </c>
      <c r="S54" s="11" t="s">
        <v>137</v>
      </c>
      <c r="T54" s="14"/>
      <c r="U54" s="13">
        <v>46265.0</v>
      </c>
      <c r="W54" s="11" t="s">
        <v>143</v>
      </c>
      <c r="X54" s="14"/>
      <c r="Y54" s="11" t="s">
        <v>861</v>
      </c>
      <c r="Z54" s="10">
        <v>15.0</v>
      </c>
      <c r="AA54" s="10">
        <v>773.0</v>
      </c>
      <c r="AB54" s="10">
        <v>3468.0</v>
      </c>
      <c r="AC54" s="14"/>
      <c r="AD54" s="11" t="s">
        <v>147</v>
      </c>
      <c r="AE54" s="11" t="s">
        <v>149</v>
      </c>
      <c r="AF54" s="14"/>
      <c r="AG54" s="13">
        <v>46198.0</v>
      </c>
      <c r="AH54" s="13">
        <v>46265.0</v>
      </c>
      <c r="AI54" s="14"/>
      <c r="AJ54" s="10">
        <v>12887.0</v>
      </c>
      <c r="AK54" s="14"/>
      <c r="AL54" s="14"/>
      <c r="AM54" s="14"/>
      <c r="AN54" s="14"/>
      <c r="AO54" s="11" t="s">
        <v>948</v>
      </c>
      <c r="AP54" s="11" t="s">
        <v>136</v>
      </c>
      <c r="AQ54" s="11" t="s">
        <v>136</v>
      </c>
      <c r="AR54" s="14"/>
      <c r="AS54" s="14"/>
      <c r="AT54" s="14"/>
      <c r="AU54" s="11" t="s">
        <v>160</v>
      </c>
      <c r="AV54" s="11" t="s">
        <v>162</v>
      </c>
      <c r="AW54" s="11" t="s">
        <v>188</v>
      </c>
      <c r="AX54" s="11">
        <v>1.25089416E9</v>
      </c>
      <c r="AY54" s="11" t="s">
        <v>961</v>
      </c>
      <c r="AZ54" s="11">
        <v>8.1332159592E10</v>
      </c>
      <c r="BA54" s="11" t="s">
        <v>962</v>
      </c>
      <c r="BB54" s="11" t="s">
        <v>963</v>
      </c>
    </row>
    <row r="55">
      <c r="A55" s="10">
        <v>211179.0</v>
      </c>
      <c r="B55" s="11" t="s">
        <v>190</v>
      </c>
      <c r="C55" s="11">
        <v>8.214163839E10</v>
      </c>
      <c r="D55" s="11" t="s">
        <v>965</v>
      </c>
      <c r="E55" s="11" t="s">
        <v>41</v>
      </c>
      <c r="F55" s="11" t="s">
        <v>122</v>
      </c>
      <c r="G55" s="11" t="s">
        <v>968</v>
      </c>
      <c r="H55" s="13">
        <v>35012.0</v>
      </c>
      <c r="I55" s="10">
        <v>766.0</v>
      </c>
      <c r="J55" s="11" t="s">
        <v>128</v>
      </c>
      <c r="K55" s="11" t="s">
        <v>292</v>
      </c>
      <c r="L55" s="11" t="s">
        <v>408</v>
      </c>
      <c r="M55" s="10">
        <v>15.0</v>
      </c>
      <c r="N55" s="10">
        <v>766.0</v>
      </c>
      <c r="O55" s="10">
        <v>3313.0</v>
      </c>
      <c r="P55" s="11" t="s">
        <v>971</v>
      </c>
      <c r="Q55" s="11" t="s">
        <v>136</v>
      </c>
      <c r="R55" s="13">
        <v>46015.0</v>
      </c>
      <c r="S55" s="11" t="s">
        <v>137</v>
      </c>
      <c r="T55" s="14"/>
      <c r="U55" s="13">
        <v>46265.0</v>
      </c>
      <c r="W55" s="11" t="s">
        <v>143</v>
      </c>
      <c r="X55" s="14"/>
      <c r="Y55" s="11" t="s">
        <v>861</v>
      </c>
      <c r="Z55" s="10">
        <v>15.0</v>
      </c>
      <c r="AA55" s="10">
        <v>766.0</v>
      </c>
      <c r="AB55" s="10">
        <v>3316.0</v>
      </c>
      <c r="AC55" s="14"/>
      <c r="AD55" s="11" t="s">
        <v>147</v>
      </c>
      <c r="AE55" s="11" t="s">
        <v>149</v>
      </c>
      <c r="AF55" s="14"/>
      <c r="AG55" s="13">
        <v>46198.0</v>
      </c>
      <c r="AH55" s="13">
        <v>46265.0</v>
      </c>
      <c r="AI55" s="14"/>
      <c r="AJ55" s="10">
        <v>11157.0</v>
      </c>
      <c r="AK55" s="14"/>
      <c r="AL55" s="14"/>
      <c r="AM55" s="14"/>
      <c r="AN55" s="14"/>
      <c r="AO55" s="11">
        <v>8.16293948647E14</v>
      </c>
      <c r="AP55" s="11" t="s">
        <v>136</v>
      </c>
      <c r="AQ55" s="11" t="s">
        <v>136</v>
      </c>
      <c r="AR55" s="14"/>
      <c r="AS55" s="14"/>
      <c r="AT55" s="14"/>
      <c r="AU55" s="11" t="s">
        <v>160</v>
      </c>
      <c r="AV55" s="11" t="s">
        <v>162</v>
      </c>
      <c r="AW55" s="11" t="s">
        <v>986</v>
      </c>
      <c r="AX55" s="11">
        <v>2.891046822E9</v>
      </c>
      <c r="AY55" s="11" t="s">
        <v>987</v>
      </c>
      <c r="AZ55" s="11">
        <v>8.2131693684E10</v>
      </c>
      <c r="BA55" s="11" t="s">
        <v>988</v>
      </c>
      <c r="BB55" s="11" t="s">
        <v>198</v>
      </c>
    </row>
    <row r="56">
      <c r="A56" s="10">
        <v>211189.0</v>
      </c>
      <c r="B56" s="11" t="s">
        <v>193</v>
      </c>
      <c r="C56" s="11">
        <v>8.1995357575E10</v>
      </c>
      <c r="D56" s="11" t="s">
        <v>991</v>
      </c>
      <c r="E56" s="11" t="s">
        <v>775</v>
      </c>
      <c r="F56" s="11" t="s">
        <v>265</v>
      </c>
      <c r="G56" s="11" t="s">
        <v>993</v>
      </c>
      <c r="H56" s="13">
        <v>33667.0</v>
      </c>
      <c r="I56" s="10">
        <v>678.0</v>
      </c>
      <c r="J56" s="11" t="s">
        <v>419</v>
      </c>
      <c r="K56" s="11" t="s">
        <v>130</v>
      </c>
      <c r="L56" s="11" t="s">
        <v>131</v>
      </c>
      <c r="M56" s="10">
        <v>9.0</v>
      </c>
      <c r="N56" s="10">
        <v>684.0</v>
      </c>
      <c r="O56" s="10">
        <v>1886.0</v>
      </c>
      <c r="P56" s="11" t="s">
        <v>996</v>
      </c>
      <c r="Q56" s="11" t="s">
        <v>136</v>
      </c>
      <c r="R56" s="13">
        <v>46027.0</v>
      </c>
      <c r="S56" s="11" t="s">
        <v>137</v>
      </c>
      <c r="T56" s="14"/>
      <c r="U56" s="13">
        <v>46265.0</v>
      </c>
      <c r="W56" s="14"/>
      <c r="X56" s="14"/>
      <c r="Y56" s="11" t="s">
        <v>861</v>
      </c>
      <c r="Z56" s="10">
        <v>9.0</v>
      </c>
      <c r="AA56" s="10">
        <v>684.0</v>
      </c>
      <c r="AB56" s="14"/>
      <c r="AC56" s="14"/>
      <c r="AD56" s="11" t="s">
        <v>147</v>
      </c>
      <c r="AE56" s="11" t="s">
        <v>149</v>
      </c>
      <c r="AF56" s="14"/>
      <c r="AG56" s="13">
        <v>46228.0</v>
      </c>
      <c r="AH56" s="13">
        <v>46265.0</v>
      </c>
      <c r="AI56" s="14"/>
      <c r="AJ56" s="10">
        <v>13021.0</v>
      </c>
      <c r="AK56" s="14"/>
      <c r="AL56" s="14"/>
      <c r="AM56" s="11">
        <v>2.3097824561E10</v>
      </c>
      <c r="AN56" s="11">
        <v>2.140533821E9</v>
      </c>
      <c r="AO56" s="11">
        <v>7.63755394304E14</v>
      </c>
      <c r="AP56" s="11" t="s">
        <v>136</v>
      </c>
      <c r="AQ56" s="11" t="s">
        <v>136</v>
      </c>
      <c r="AR56" s="14"/>
      <c r="AS56" s="14"/>
      <c r="AT56" s="11" t="s">
        <v>400</v>
      </c>
      <c r="AU56" s="11" t="s">
        <v>160</v>
      </c>
      <c r="AV56" s="11" t="s">
        <v>162</v>
      </c>
      <c r="AW56" s="11" t="s">
        <v>193</v>
      </c>
      <c r="AX56" s="11">
        <v>8.535125917E9</v>
      </c>
      <c r="AY56" s="11" t="s">
        <v>999</v>
      </c>
      <c r="AZ56" s="11">
        <v>8.2180052775E10</v>
      </c>
      <c r="BA56" s="11" t="s">
        <v>1000</v>
      </c>
      <c r="BB56" s="11" t="s">
        <v>963</v>
      </c>
    </row>
    <row r="57">
      <c r="A57" s="10">
        <v>212658.0</v>
      </c>
      <c r="B57" s="11" t="s">
        <v>196</v>
      </c>
      <c r="C57" s="11">
        <v>8.5398646723E10</v>
      </c>
      <c r="D57" s="11" t="s">
        <v>1002</v>
      </c>
      <c r="E57" s="11" t="s">
        <v>41</v>
      </c>
      <c r="F57" s="11" t="s">
        <v>122</v>
      </c>
      <c r="G57" s="11" t="s">
        <v>1004</v>
      </c>
      <c r="H57" s="13">
        <v>37595.0</v>
      </c>
      <c r="I57" s="10">
        <v>957.0</v>
      </c>
      <c r="J57" s="11" t="s">
        <v>128</v>
      </c>
      <c r="K57" s="11" t="s">
        <v>706</v>
      </c>
      <c r="L57" s="11" t="s">
        <v>131</v>
      </c>
      <c r="M57" s="10">
        <v>27.0</v>
      </c>
      <c r="N57" s="10">
        <v>957.0</v>
      </c>
      <c r="O57" s="10">
        <v>5858.0</v>
      </c>
      <c r="P57" s="11" t="s">
        <v>1009</v>
      </c>
      <c r="Q57" s="11" t="s">
        <v>136</v>
      </c>
      <c r="R57" s="13">
        <v>46024.0</v>
      </c>
      <c r="S57" s="11" t="s">
        <v>137</v>
      </c>
      <c r="T57" s="14"/>
      <c r="U57" s="13">
        <v>46265.0</v>
      </c>
      <c r="W57" s="14"/>
      <c r="X57" s="14"/>
      <c r="Y57" s="11" t="s">
        <v>861</v>
      </c>
      <c r="Z57" s="10">
        <v>27.0</v>
      </c>
      <c r="AA57" s="10">
        <v>957.0</v>
      </c>
      <c r="AB57" s="10">
        <v>5861.0</v>
      </c>
      <c r="AC57" s="14"/>
      <c r="AD57" s="11" t="s">
        <v>147</v>
      </c>
      <c r="AE57" s="11" t="s">
        <v>149</v>
      </c>
      <c r="AF57" s="14"/>
      <c r="AG57" s="13">
        <v>46228.0</v>
      </c>
      <c r="AH57" s="13">
        <v>46265.0</v>
      </c>
      <c r="AI57" s="14"/>
      <c r="AJ57" s="10">
        <v>11092.0</v>
      </c>
      <c r="AK57" s="14"/>
      <c r="AL57" s="14"/>
      <c r="AM57" s="14"/>
      <c r="AN57" s="14"/>
      <c r="AO57" s="14"/>
      <c r="AP57" s="11" t="s">
        <v>136</v>
      </c>
      <c r="AQ57" s="11" t="s">
        <v>136</v>
      </c>
      <c r="AR57" s="14"/>
      <c r="AS57" s="14"/>
      <c r="AT57" s="14"/>
      <c r="AU57" s="11" t="s">
        <v>160</v>
      </c>
      <c r="AV57" s="11" t="s">
        <v>742</v>
      </c>
      <c r="AW57" s="11" t="s">
        <v>1016</v>
      </c>
      <c r="AX57" s="11">
        <v>3.41101038748539E14</v>
      </c>
      <c r="AY57" s="14"/>
      <c r="AZ57" s="14"/>
      <c r="BA57" s="14"/>
      <c r="BB57" s="14"/>
    </row>
    <row r="58">
      <c r="A58" s="10">
        <v>212901.0</v>
      </c>
      <c r="B58" s="11" t="s">
        <v>199</v>
      </c>
      <c r="C58" s="11">
        <v>8.1915461459E10</v>
      </c>
      <c r="D58" s="11" t="s">
        <v>1020</v>
      </c>
      <c r="E58" s="11" t="s">
        <v>41</v>
      </c>
      <c r="F58" s="11" t="s">
        <v>122</v>
      </c>
      <c r="G58" s="11" t="s">
        <v>1023</v>
      </c>
      <c r="H58" s="13">
        <v>37304.0</v>
      </c>
      <c r="I58" s="10">
        <v>706.0</v>
      </c>
      <c r="J58" s="11" t="s">
        <v>128</v>
      </c>
      <c r="K58" s="11" t="s">
        <v>706</v>
      </c>
      <c r="L58" s="11" t="s">
        <v>207</v>
      </c>
      <c r="M58" s="10">
        <v>12.0</v>
      </c>
      <c r="N58" s="10">
        <v>706.0</v>
      </c>
      <c r="O58" s="10">
        <v>2315.0</v>
      </c>
      <c r="P58" s="11" t="s">
        <v>1030</v>
      </c>
      <c r="Q58" s="11" t="s">
        <v>136</v>
      </c>
      <c r="R58" s="13">
        <v>46027.0</v>
      </c>
      <c r="S58" s="11" t="s">
        <v>137</v>
      </c>
      <c r="T58" s="14"/>
      <c r="U58" s="13">
        <v>46265.0</v>
      </c>
      <c r="W58" s="14"/>
      <c r="X58" s="14"/>
      <c r="Y58" s="11" t="s">
        <v>861</v>
      </c>
      <c r="Z58" s="10">
        <v>12.0</v>
      </c>
      <c r="AA58" s="10">
        <v>706.0</v>
      </c>
      <c r="AB58" s="10">
        <v>2316.0</v>
      </c>
      <c r="AC58" s="14"/>
      <c r="AD58" s="11" t="s">
        <v>147</v>
      </c>
      <c r="AE58" s="11" t="s">
        <v>149</v>
      </c>
      <c r="AF58" s="14"/>
      <c r="AG58" s="13">
        <v>46228.0</v>
      </c>
      <c r="AH58" s="13">
        <v>46265.0</v>
      </c>
      <c r="AI58" s="14"/>
      <c r="AJ58" s="10">
        <v>13013.0</v>
      </c>
      <c r="AK58" s="14"/>
      <c r="AL58" s="14"/>
      <c r="AM58" s="14"/>
      <c r="AN58" s="11">
        <v>4.53454896E8</v>
      </c>
      <c r="AO58" s="14"/>
      <c r="AP58" s="11" t="s">
        <v>136</v>
      </c>
      <c r="AQ58" s="11" t="s">
        <v>136</v>
      </c>
      <c r="AR58" s="14"/>
      <c r="AS58" s="14"/>
      <c r="AT58" s="14"/>
      <c r="AU58" s="11" t="s">
        <v>160</v>
      </c>
      <c r="AV58" s="11" t="s">
        <v>162</v>
      </c>
      <c r="AW58" s="11" t="s">
        <v>1038</v>
      </c>
      <c r="AX58" s="11">
        <v>7.746551729E9</v>
      </c>
      <c r="AY58" s="11" t="s">
        <v>1039</v>
      </c>
      <c r="AZ58" s="11">
        <v>8.82002148473E11</v>
      </c>
      <c r="BA58" s="11" t="s">
        <v>1030</v>
      </c>
      <c r="BB58" s="11" t="s">
        <v>227</v>
      </c>
    </row>
    <row r="59">
      <c r="A59" s="10">
        <v>213212.0</v>
      </c>
      <c r="B59" s="11" t="s">
        <v>200</v>
      </c>
      <c r="C59" s="11">
        <v>8.1335885943E10</v>
      </c>
      <c r="D59" s="11" t="s">
        <v>1043</v>
      </c>
      <c r="E59" s="11" t="s">
        <v>41</v>
      </c>
      <c r="F59" s="11" t="s">
        <v>122</v>
      </c>
      <c r="G59" s="11" t="s">
        <v>1045</v>
      </c>
      <c r="H59" s="13">
        <v>37492.0</v>
      </c>
      <c r="I59" s="10">
        <v>770.0</v>
      </c>
      <c r="J59" s="11" t="s">
        <v>128</v>
      </c>
      <c r="K59" s="11" t="s">
        <v>706</v>
      </c>
      <c r="L59" s="11" t="s">
        <v>207</v>
      </c>
      <c r="M59" s="10">
        <v>15.0</v>
      </c>
      <c r="N59" s="10">
        <v>801.0</v>
      </c>
      <c r="O59" s="10">
        <v>3920.0</v>
      </c>
      <c r="P59" s="11" t="s">
        <v>1048</v>
      </c>
      <c r="Q59" s="11" t="s">
        <v>136</v>
      </c>
      <c r="R59" s="13">
        <v>46022.0</v>
      </c>
      <c r="S59" s="11" t="s">
        <v>137</v>
      </c>
      <c r="T59" s="14"/>
      <c r="U59" s="13">
        <v>46265.0</v>
      </c>
      <c r="W59" s="14"/>
      <c r="X59" s="14"/>
      <c r="Y59" s="11" t="s">
        <v>861</v>
      </c>
      <c r="Z59" s="10">
        <v>15.0</v>
      </c>
      <c r="AA59" s="10">
        <v>801.0</v>
      </c>
      <c r="AB59" s="10">
        <v>3940.0</v>
      </c>
      <c r="AC59" s="14"/>
      <c r="AD59" s="11" t="s">
        <v>147</v>
      </c>
      <c r="AE59" s="11" t="s">
        <v>149</v>
      </c>
      <c r="AF59" s="14"/>
      <c r="AG59" s="13">
        <v>46198.0</v>
      </c>
      <c r="AH59" s="13">
        <v>46265.0</v>
      </c>
      <c r="AI59" s="14"/>
      <c r="AJ59" s="10">
        <v>13207.0</v>
      </c>
      <c r="AK59" s="14"/>
      <c r="AL59" s="14"/>
      <c r="AM59" s="14"/>
      <c r="AN59" s="11">
        <v>2.284919741E9</v>
      </c>
      <c r="AO59" s="11" t="s">
        <v>1045</v>
      </c>
      <c r="AP59" s="11" t="s">
        <v>136</v>
      </c>
      <c r="AQ59" s="11" t="s">
        <v>136</v>
      </c>
      <c r="AR59" s="14"/>
      <c r="AS59" s="14"/>
      <c r="AT59" s="11" t="s">
        <v>1061</v>
      </c>
      <c r="AU59" s="11" t="s">
        <v>160</v>
      </c>
      <c r="AV59" s="11" t="s">
        <v>162</v>
      </c>
      <c r="AW59" s="11" t="s">
        <v>1063</v>
      </c>
      <c r="AX59" s="11">
        <v>6.123069515E9</v>
      </c>
      <c r="AY59" s="11" t="s">
        <v>1064</v>
      </c>
      <c r="AZ59" s="11">
        <v>8.888049889E9</v>
      </c>
      <c r="BA59" s="11" t="s">
        <v>1048</v>
      </c>
      <c r="BB59" s="14"/>
    </row>
    <row r="60">
      <c r="A60" s="10">
        <v>213215.0</v>
      </c>
      <c r="B60" s="11" t="s">
        <v>202</v>
      </c>
      <c r="C60" s="11">
        <v>8.784528432E10</v>
      </c>
      <c r="D60" s="11" t="s">
        <v>1067</v>
      </c>
      <c r="E60" s="11" t="s">
        <v>41</v>
      </c>
      <c r="F60" s="11" t="s">
        <v>122</v>
      </c>
      <c r="G60" s="11" t="s">
        <v>1068</v>
      </c>
      <c r="H60" s="13">
        <v>38240.0</v>
      </c>
      <c r="I60" s="10">
        <v>779.0</v>
      </c>
      <c r="J60" s="11" t="s">
        <v>128</v>
      </c>
      <c r="K60" s="11" t="s">
        <v>333</v>
      </c>
      <c r="L60" s="11" t="s">
        <v>131</v>
      </c>
      <c r="M60" s="10">
        <v>15.0</v>
      </c>
      <c r="N60" s="10">
        <v>779.0</v>
      </c>
      <c r="O60" s="10">
        <v>3608.0</v>
      </c>
      <c r="P60" s="11" t="s">
        <v>1070</v>
      </c>
      <c r="Q60" s="11" t="s">
        <v>136</v>
      </c>
      <c r="R60" s="13">
        <v>46022.0</v>
      </c>
      <c r="S60" s="11" t="s">
        <v>137</v>
      </c>
      <c r="T60" s="14"/>
      <c r="U60" s="13">
        <v>46265.0</v>
      </c>
      <c r="W60" s="14"/>
      <c r="X60" s="14"/>
      <c r="Y60" s="11" t="s">
        <v>861</v>
      </c>
      <c r="Z60" s="10">
        <v>15.0</v>
      </c>
      <c r="AA60" s="10">
        <v>779.0</v>
      </c>
      <c r="AB60" s="10">
        <v>3607.0</v>
      </c>
      <c r="AC60" s="14"/>
      <c r="AD60" s="11" t="s">
        <v>147</v>
      </c>
      <c r="AE60" s="11" t="s">
        <v>149</v>
      </c>
      <c r="AF60" s="14"/>
      <c r="AG60" s="13">
        <v>46198.0</v>
      </c>
      <c r="AH60" s="13">
        <v>46265.0</v>
      </c>
      <c r="AI60" s="14"/>
      <c r="AJ60" s="10">
        <v>13025.0</v>
      </c>
      <c r="AK60" s="14"/>
      <c r="AL60" s="14"/>
      <c r="AM60" s="14"/>
      <c r="AN60" s="11">
        <v>1.115591973E9</v>
      </c>
      <c r="AO60" s="14"/>
      <c r="AP60" s="11" t="s">
        <v>136</v>
      </c>
      <c r="AQ60" s="11" t="s">
        <v>136</v>
      </c>
      <c r="AR60" s="14"/>
      <c r="AS60" s="14"/>
      <c r="AT60" s="14"/>
      <c r="AU60" s="11" t="s">
        <v>160</v>
      </c>
      <c r="AV60" s="11" t="s">
        <v>162</v>
      </c>
      <c r="AW60" s="11" t="s">
        <v>202</v>
      </c>
      <c r="AX60" s="11">
        <v>8.8307376E8</v>
      </c>
      <c r="AY60" s="11" t="s">
        <v>1074</v>
      </c>
      <c r="AZ60" s="11">
        <v>8.5601855346E10</v>
      </c>
      <c r="BA60" s="11" t="s">
        <v>1076</v>
      </c>
      <c r="BB60" s="11" t="s">
        <v>488</v>
      </c>
    </row>
    <row r="61">
      <c r="A61" s="10">
        <v>214229.0</v>
      </c>
      <c r="B61" s="11" t="s">
        <v>204</v>
      </c>
      <c r="C61" s="11">
        <v>8.5602723475E10</v>
      </c>
      <c r="D61" s="11" t="s">
        <v>1077</v>
      </c>
      <c r="E61" s="11" t="s">
        <v>41</v>
      </c>
      <c r="F61" s="11" t="s">
        <v>265</v>
      </c>
      <c r="G61" s="11" t="s">
        <v>1079</v>
      </c>
      <c r="H61" s="13">
        <v>35307.0</v>
      </c>
      <c r="I61" s="10">
        <v>743.0</v>
      </c>
      <c r="J61" s="11" t="s">
        <v>128</v>
      </c>
      <c r="K61" s="14"/>
      <c r="L61" s="11" t="s">
        <v>207</v>
      </c>
      <c r="M61" s="10">
        <v>13.0</v>
      </c>
      <c r="N61" s="10">
        <v>743.0</v>
      </c>
      <c r="O61" s="10">
        <v>2996.0</v>
      </c>
      <c r="P61" s="11" t="s">
        <v>1080</v>
      </c>
      <c r="Q61" s="11" t="s">
        <v>136</v>
      </c>
      <c r="R61" s="13">
        <v>46034.0</v>
      </c>
      <c r="S61" s="11" t="s">
        <v>137</v>
      </c>
      <c r="T61" s="14"/>
      <c r="U61" s="13">
        <v>46265.0</v>
      </c>
      <c r="W61" s="14"/>
      <c r="X61" s="14"/>
      <c r="Y61" s="14"/>
      <c r="Z61" s="10">
        <v>13.0</v>
      </c>
      <c r="AA61" s="10">
        <v>743.0</v>
      </c>
      <c r="AB61" s="10">
        <v>2994.0</v>
      </c>
      <c r="AC61" s="14"/>
      <c r="AD61" s="11" t="s">
        <v>147</v>
      </c>
      <c r="AE61" s="11" t="s">
        <v>149</v>
      </c>
      <c r="AF61" s="14"/>
      <c r="AG61" s="13">
        <v>46228.0</v>
      </c>
      <c r="AH61" s="13">
        <v>46265.0</v>
      </c>
      <c r="AI61" s="14"/>
      <c r="AJ61" s="10">
        <v>13131.0</v>
      </c>
      <c r="AK61" s="14"/>
      <c r="AL61" s="14"/>
      <c r="AM61" s="14"/>
      <c r="AN61" s="11">
        <v>5.91222701E8</v>
      </c>
      <c r="AO61" s="11">
        <v>2.92787132506E14</v>
      </c>
      <c r="AP61" s="11" t="s">
        <v>136</v>
      </c>
      <c r="AQ61" s="11" t="s">
        <v>136</v>
      </c>
      <c r="AR61" s="14"/>
      <c r="AS61" s="14"/>
      <c r="AT61" s="14"/>
      <c r="AU61" s="11" t="s">
        <v>160</v>
      </c>
      <c r="AV61" s="11" t="s">
        <v>779</v>
      </c>
      <c r="AW61" s="11" t="s">
        <v>204</v>
      </c>
      <c r="AX61" s="11">
        <v>1.840003423991E12</v>
      </c>
      <c r="AY61" s="11" t="s">
        <v>1082</v>
      </c>
      <c r="AZ61" s="11">
        <v>8.5701265868E10</v>
      </c>
      <c r="BA61" s="11" t="s">
        <v>1080</v>
      </c>
      <c r="BB61" s="11" t="s">
        <v>227</v>
      </c>
    </row>
    <row r="62">
      <c r="A62" s="10">
        <v>214532.0</v>
      </c>
      <c r="B62" s="11" t="s">
        <v>208</v>
      </c>
      <c r="C62" s="11">
        <v>8.7899215955E10</v>
      </c>
      <c r="D62" s="11" t="s">
        <v>1083</v>
      </c>
      <c r="E62" s="11" t="s">
        <v>41</v>
      </c>
      <c r="F62" s="11" t="s">
        <v>122</v>
      </c>
      <c r="G62" s="11" t="s">
        <v>1084</v>
      </c>
      <c r="H62" s="13">
        <v>34644.0</v>
      </c>
      <c r="I62" s="10">
        <v>828.0</v>
      </c>
      <c r="J62" s="11" t="s">
        <v>128</v>
      </c>
      <c r="K62" s="11" t="s">
        <v>333</v>
      </c>
      <c r="L62" s="11" t="s">
        <v>131</v>
      </c>
      <c r="M62" s="10">
        <v>18.0</v>
      </c>
      <c r="N62" s="10">
        <v>828.0</v>
      </c>
      <c r="O62" s="10">
        <v>4274.0</v>
      </c>
      <c r="P62" s="11" t="s">
        <v>1086</v>
      </c>
      <c r="Q62" s="11" t="s">
        <v>136</v>
      </c>
      <c r="R62" s="13">
        <v>46034.0</v>
      </c>
      <c r="S62" s="11" t="s">
        <v>137</v>
      </c>
      <c r="T62" s="14"/>
      <c r="U62" s="13">
        <v>46265.0</v>
      </c>
      <c r="W62" s="14"/>
      <c r="X62" s="14"/>
      <c r="Y62" s="11" t="s">
        <v>861</v>
      </c>
      <c r="Z62" s="10">
        <v>18.0</v>
      </c>
      <c r="AA62" s="10">
        <v>828.0</v>
      </c>
      <c r="AB62" s="10">
        <v>4273.0</v>
      </c>
      <c r="AC62" s="14"/>
      <c r="AD62" s="11" t="s">
        <v>147</v>
      </c>
      <c r="AE62" s="11" t="s">
        <v>149</v>
      </c>
      <c r="AF62" s="14"/>
      <c r="AG62" s="13">
        <v>46228.0</v>
      </c>
      <c r="AH62" s="13">
        <v>46265.0</v>
      </c>
      <c r="AI62" s="14"/>
      <c r="AJ62" s="10">
        <v>13064.0</v>
      </c>
      <c r="AK62" s="14"/>
      <c r="AL62" s="14"/>
      <c r="AM62" s="14"/>
      <c r="AN62" s="11">
        <v>1.579243364E9</v>
      </c>
      <c r="AO62" s="11" t="s">
        <v>1084</v>
      </c>
      <c r="AP62" s="11" t="s">
        <v>136</v>
      </c>
      <c r="AQ62" s="11" t="s">
        <v>136</v>
      </c>
      <c r="AR62" s="14"/>
      <c r="AS62" s="14"/>
      <c r="AT62" s="11" t="s">
        <v>219</v>
      </c>
      <c r="AU62" s="11" t="s">
        <v>1088</v>
      </c>
      <c r="AV62" s="11" t="s">
        <v>1089</v>
      </c>
      <c r="AW62" s="11" t="s">
        <v>1090</v>
      </c>
      <c r="AX62" s="14">
        <f>+6287899215955</f>
        <v>6287899215955</v>
      </c>
      <c r="AY62" s="11" t="s">
        <v>1094</v>
      </c>
      <c r="AZ62" s="11">
        <v>8.7765933522E10</v>
      </c>
      <c r="BA62" s="11" t="s">
        <v>1096</v>
      </c>
      <c r="BB62" s="11" t="s">
        <v>170</v>
      </c>
    </row>
    <row r="63">
      <c r="A63" s="10">
        <v>215205.0</v>
      </c>
      <c r="B63" s="11" t="s">
        <v>210</v>
      </c>
      <c r="C63" s="11">
        <v>8.9670444004E10</v>
      </c>
      <c r="D63" s="11" t="s">
        <v>1099</v>
      </c>
      <c r="E63" s="11" t="s">
        <v>41</v>
      </c>
      <c r="F63" s="11" t="s">
        <v>265</v>
      </c>
      <c r="G63" s="11" t="s">
        <v>1101</v>
      </c>
      <c r="H63" s="13">
        <v>36862.0</v>
      </c>
      <c r="I63" s="10">
        <v>718.0</v>
      </c>
      <c r="J63" s="11" t="s">
        <v>128</v>
      </c>
      <c r="K63" s="11" t="s">
        <v>292</v>
      </c>
      <c r="L63" s="11" t="s">
        <v>131</v>
      </c>
      <c r="M63" s="10">
        <v>12.0</v>
      </c>
      <c r="N63" s="10">
        <v>701.0</v>
      </c>
      <c r="O63" s="10">
        <v>2127.0</v>
      </c>
      <c r="P63" s="11" t="s">
        <v>1103</v>
      </c>
      <c r="Q63" s="11" t="s">
        <v>136</v>
      </c>
      <c r="R63" s="13">
        <v>46036.0</v>
      </c>
      <c r="S63" s="11" t="s">
        <v>137</v>
      </c>
      <c r="T63" s="14"/>
      <c r="U63" s="13">
        <v>46265.0</v>
      </c>
      <c r="W63" s="11" t="s">
        <v>143</v>
      </c>
      <c r="X63" s="14"/>
      <c r="Y63" s="11" t="s">
        <v>861</v>
      </c>
      <c r="Z63" s="10">
        <v>12.0</v>
      </c>
      <c r="AA63" s="10">
        <v>718.0</v>
      </c>
      <c r="AB63" s="10">
        <v>2567.0</v>
      </c>
      <c r="AC63" s="14"/>
      <c r="AD63" s="11" t="s">
        <v>147</v>
      </c>
      <c r="AE63" s="11" t="s">
        <v>149</v>
      </c>
      <c r="AF63" s="14"/>
      <c r="AG63" s="13">
        <v>46228.0</v>
      </c>
      <c r="AH63" s="13">
        <v>46265.0</v>
      </c>
      <c r="AI63" s="14"/>
      <c r="AJ63" s="10">
        <v>13138.0</v>
      </c>
      <c r="AK63" s="14"/>
      <c r="AL63" s="14"/>
      <c r="AM63" s="11">
        <v>2.5091774841E10</v>
      </c>
      <c r="AN63" s="11">
        <v>1.779175427E9</v>
      </c>
      <c r="AO63" s="11">
        <v>9.62696589429E14</v>
      </c>
      <c r="AP63" s="11" t="s">
        <v>136</v>
      </c>
      <c r="AQ63" s="11" t="s">
        <v>136</v>
      </c>
      <c r="AR63" s="14"/>
      <c r="AS63" s="14"/>
      <c r="AT63" s="11" t="s">
        <v>535</v>
      </c>
      <c r="AU63" s="11" t="s">
        <v>160</v>
      </c>
      <c r="AV63" s="11" t="s">
        <v>162</v>
      </c>
      <c r="AW63" s="11" t="s">
        <v>210</v>
      </c>
      <c r="AX63" s="11">
        <v>2.832076288E9</v>
      </c>
      <c r="AY63" s="11" t="s">
        <v>1113</v>
      </c>
      <c r="AZ63" s="11">
        <v>8.7827555269E10</v>
      </c>
      <c r="BA63" s="11" t="s">
        <v>1115</v>
      </c>
      <c r="BB63" s="11" t="s">
        <v>963</v>
      </c>
    </row>
    <row r="64">
      <c r="A64" s="10">
        <v>215867.0</v>
      </c>
      <c r="B64" s="11" t="s">
        <v>212</v>
      </c>
      <c r="C64" s="11">
        <v>8.9678564827E10</v>
      </c>
      <c r="D64" s="11" t="s">
        <v>1117</v>
      </c>
      <c r="E64" s="11" t="s">
        <v>41</v>
      </c>
      <c r="F64" s="11" t="s">
        <v>122</v>
      </c>
      <c r="G64" s="11" t="s">
        <v>1118</v>
      </c>
      <c r="H64" s="13">
        <v>35238.0</v>
      </c>
      <c r="I64" s="10">
        <v>801.0</v>
      </c>
      <c r="J64" s="11" t="s">
        <v>128</v>
      </c>
      <c r="K64" s="11" t="s">
        <v>706</v>
      </c>
      <c r="L64" s="11" t="s">
        <v>131</v>
      </c>
      <c r="M64" s="10">
        <v>15.0</v>
      </c>
      <c r="N64" s="10">
        <v>801.0</v>
      </c>
      <c r="O64" s="10">
        <v>3937.0</v>
      </c>
      <c r="P64" s="11" t="s">
        <v>1121</v>
      </c>
      <c r="Q64" s="11" t="s">
        <v>136</v>
      </c>
      <c r="R64" s="13">
        <v>46043.0</v>
      </c>
      <c r="S64" s="11" t="s">
        <v>137</v>
      </c>
      <c r="T64" s="14"/>
      <c r="U64" s="13">
        <v>46265.0</v>
      </c>
      <c r="W64" s="14"/>
      <c r="X64" s="14"/>
      <c r="Y64" s="11" t="s">
        <v>861</v>
      </c>
      <c r="Z64" s="10">
        <v>15.0</v>
      </c>
      <c r="AA64" s="10">
        <v>801.0</v>
      </c>
      <c r="AB64" s="10">
        <v>3928.0</v>
      </c>
      <c r="AC64" s="14"/>
      <c r="AD64" s="11" t="s">
        <v>147</v>
      </c>
      <c r="AE64" s="11" t="s">
        <v>149</v>
      </c>
      <c r="AF64" s="14"/>
      <c r="AG64" s="13">
        <v>46228.0</v>
      </c>
      <c r="AH64" s="13">
        <v>46265.0</v>
      </c>
      <c r="AI64" s="14"/>
      <c r="AJ64" s="10">
        <v>13172.0</v>
      </c>
      <c r="AK64" s="14"/>
      <c r="AL64" s="14"/>
      <c r="AM64" s="11">
        <v>2.1062921164E10</v>
      </c>
      <c r="AN64" s="11">
        <v>1.421222589E9</v>
      </c>
      <c r="AO64" s="11">
        <v>9.54647699619E14</v>
      </c>
      <c r="AP64" s="11" t="s">
        <v>136</v>
      </c>
      <c r="AQ64" s="11" t="s">
        <v>136</v>
      </c>
      <c r="AR64" s="14"/>
      <c r="AS64" s="14"/>
      <c r="AT64" s="11" t="s">
        <v>400</v>
      </c>
      <c r="AU64" s="11" t="s">
        <v>160</v>
      </c>
      <c r="AV64" s="11" t="s">
        <v>162</v>
      </c>
      <c r="AW64" s="11" t="s">
        <v>212</v>
      </c>
      <c r="AX64" s="11">
        <v>5.190184422E9</v>
      </c>
      <c r="AY64" s="11" t="s">
        <v>1128</v>
      </c>
      <c r="AZ64" s="11">
        <v>8.5853407472E10</v>
      </c>
      <c r="BA64" s="11" t="s">
        <v>1121</v>
      </c>
      <c r="BB64" s="11" t="s">
        <v>170</v>
      </c>
    </row>
    <row r="65">
      <c r="A65" s="10">
        <v>216720.0</v>
      </c>
      <c r="B65" s="11" t="s">
        <v>213</v>
      </c>
      <c r="C65" s="11">
        <v>8.1283148912E10</v>
      </c>
      <c r="D65" s="11" t="s">
        <v>1131</v>
      </c>
      <c r="E65" s="11" t="s">
        <v>41</v>
      </c>
      <c r="F65" s="11" t="s">
        <v>265</v>
      </c>
      <c r="G65" s="11" t="s">
        <v>1133</v>
      </c>
      <c r="H65" s="13">
        <v>35663.0</v>
      </c>
      <c r="I65" s="10">
        <v>801.0</v>
      </c>
      <c r="J65" s="11" t="s">
        <v>128</v>
      </c>
      <c r="K65" s="11" t="s">
        <v>130</v>
      </c>
      <c r="L65" s="11" t="s">
        <v>207</v>
      </c>
      <c r="M65" s="10">
        <v>15.0</v>
      </c>
      <c r="N65" s="10">
        <v>801.0</v>
      </c>
      <c r="O65" s="10">
        <v>3949.0</v>
      </c>
      <c r="P65" s="11" t="s">
        <v>1135</v>
      </c>
      <c r="Q65" s="11" t="s">
        <v>136</v>
      </c>
      <c r="R65" s="13">
        <v>46047.0</v>
      </c>
      <c r="S65" s="11" t="s">
        <v>137</v>
      </c>
      <c r="T65" s="14"/>
      <c r="U65" s="13">
        <v>46265.0</v>
      </c>
      <c r="W65" s="11" t="s">
        <v>143</v>
      </c>
      <c r="X65" s="14"/>
      <c r="Y65" s="11" t="s">
        <v>861</v>
      </c>
      <c r="Z65" s="10">
        <v>15.0</v>
      </c>
      <c r="AA65" s="10">
        <v>801.0</v>
      </c>
      <c r="AB65" s="10">
        <v>3932.0</v>
      </c>
      <c r="AC65" s="14"/>
      <c r="AD65" s="11" t="s">
        <v>147</v>
      </c>
      <c r="AE65" s="11" t="s">
        <v>149</v>
      </c>
      <c r="AF65" s="14"/>
      <c r="AG65" s="13">
        <v>46228.0</v>
      </c>
      <c r="AH65" s="13">
        <v>46265.0</v>
      </c>
      <c r="AI65" s="14"/>
      <c r="AJ65" s="10">
        <v>13024.0</v>
      </c>
      <c r="AK65" s="14"/>
      <c r="AL65" s="14"/>
      <c r="AM65" s="14"/>
      <c r="AN65" s="14"/>
      <c r="AO65" s="11" t="s">
        <v>1133</v>
      </c>
      <c r="AP65" s="11" t="s">
        <v>136</v>
      </c>
      <c r="AQ65" s="11" t="s">
        <v>136</v>
      </c>
      <c r="AR65" s="14"/>
      <c r="AS65" s="14"/>
      <c r="AT65" s="11" t="s">
        <v>219</v>
      </c>
      <c r="AU65" s="11" t="s">
        <v>160</v>
      </c>
      <c r="AV65" s="11" t="s">
        <v>779</v>
      </c>
      <c r="AW65" s="11" t="s">
        <v>1142</v>
      </c>
      <c r="AX65" s="11">
        <v>1.410025187097E12</v>
      </c>
      <c r="AY65" s="11" t="s">
        <v>1143</v>
      </c>
      <c r="AZ65" s="11">
        <v>8.1331165665E10</v>
      </c>
      <c r="BA65" s="11" t="s">
        <v>1135</v>
      </c>
      <c r="BB65" s="11" t="s">
        <v>488</v>
      </c>
    </row>
    <row r="66">
      <c r="A66" s="10">
        <v>217847.0</v>
      </c>
      <c r="B66" s="11" t="s">
        <v>215</v>
      </c>
      <c r="C66" s="11">
        <v>8.886200919E9</v>
      </c>
      <c r="D66" s="11" t="s">
        <v>1146</v>
      </c>
      <c r="E66" s="11" t="s">
        <v>41</v>
      </c>
      <c r="F66" s="11" t="s">
        <v>265</v>
      </c>
      <c r="G66" s="11" t="s">
        <v>1147</v>
      </c>
      <c r="H66" s="13">
        <v>34155.0</v>
      </c>
      <c r="I66" s="10">
        <v>718.0</v>
      </c>
      <c r="J66" s="11" t="s">
        <v>128</v>
      </c>
      <c r="K66" s="11" t="s">
        <v>333</v>
      </c>
      <c r="L66" s="11" t="s">
        <v>131</v>
      </c>
      <c r="M66" s="10">
        <v>12.0</v>
      </c>
      <c r="N66" s="10">
        <v>722.0</v>
      </c>
      <c r="O66" s="10">
        <v>2619.0</v>
      </c>
      <c r="P66" s="11" t="s">
        <v>1151</v>
      </c>
      <c r="Q66" s="11" t="s">
        <v>136</v>
      </c>
      <c r="R66" s="13">
        <v>46055.0</v>
      </c>
      <c r="S66" s="11" t="s">
        <v>137</v>
      </c>
      <c r="T66" s="14"/>
      <c r="U66" s="13">
        <v>46265.0</v>
      </c>
      <c r="W66" s="14"/>
      <c r="X66" s="14"/>
      <c r="Y66" s="11" t="s">
        <v>861</v>
      </c>
      <c r="Z66" s="10">
        <v>12.0</v>
      </c>
      <c r="AA66" s="10">
        <v>718.0</v>
      </c>
      <c r="AB66" s="10">
        <v>2568.0</v>
      </c>
      <c r="AC66" s="14"/>
      <c r="AD66" s="11" t="s">
        <v>147</v>
      </c>
      <c r="AE66" s="11" t="s">
        <v>149</v>
      </c>
      <c r="AF66" s="14"/>
      <c r="AG66" s="13">
        <v>46167.0</v>
      </c>
      <c r="AH66" s="13">
        <v>46265.0</v>
      </c>
      <c r="AI66" s="14"/>
      <c r="AJ66" s="10">
        <v>13271.0</v>
      </c>
      <c r="AK66" s="14"/>
      <c r="AL66" s="14"/>
      <c r="AM66" s="14"/>
      <c r="AN66" s="14"/>
      <c r="AO66" s="11">
        <v>7.18774425421E14</v>
      </c>
      <c r="AP66" s="11" t="s">
        <v>136</v>
      </c>
      <c r="AQ66" s="11" t="s">
        <v>136</v>
      </c>
      <c r="AR66" s="14"/>
      <c r="AS66" s="14"/>
      <c r="AT66" s="14"/>
      <c r="AU66" s="11" t="s">
        <v>160</v>
      </c>
      <c r="AV66" s="11" t="s">
        <v>162</v>
      </c>
      <c r="AW66" s="11" t="s">
        <v>1159</v>
      </c>
      <c r="AX66" s="11">
        <v>7.94030102E9</v>
      </c>
      <c r="AY66" s="11" t="s">
        <v>1160</v>
      </c>
      <c r="AZ66" s="11">
        <v>8.883673003E9</v>
      </c>
      <c r="BA66" s="11" t="s">
        <v>1162</v>
      </c>
      <c r="BB66" s="11" t="s">
        <v>963</v>
      </c>
    </row>
    <row r="67">
      <c r="A67" s="10">
        <v>218212.0</v>
      </c>
      <c r="B67" s="11" t="s">
        <v>217</v>
      </c>
      <c r="C67" s="11">
        <v>8.2385625202E10</v>
      </c>
      <c r="D67" s="11" t="s">
        <v>1165</v>
      </c>
      <c r="E67" s="11" t="s">
        <v>41</v>
      </c>
      <c r="F67" s="11" t="s">
        <v>122</v>
      </c>
      <c r="G67" s="11" t="s">
        <v>1167</v>
      </c>
      <c r="H67" s="13">
        <v>37253.0</v>
      </c>
      <c r="I67" s="10">
        <v>602.0</v>
      </c>
      <c r="J67" s="11" t="s">
        <v>128</v>
      </c>
      <c r="K67" s="14"/>
      <c r="L67" s="11" t="s">
        <v>207</v>
      </c>
      <c r="M67" s="10">
        <v>11.0</v>
      </c>
      <c r="N67" s="10">
        <v>697.0</v>
      </c>
      <c r="O67" s="10">
        <v>1978.0</v>
      </c>
      <c r="P67" s="11" t="s">
        <v>1171</v>
      </c>
      <c r="Q67" s="11" t="s">
        <v>136</v>
      </c>
      <c r="R67" s="13">
        <v>45561.0</v>
      </c>
      <c r="S67" s="11" t="s">
        <v>137</v>
      </c>
      <c r="T67" s="14"/>
      <c r="U67" s="13">
        <v>46265.0</v>
      </c>
      <c r="W67" s="14"/>
      <c r="X67" s="14"/>
      <c r="Y67" s="11" t="s">
        <v>861</v>
      </c>
      <c r="Z67" s="10">
        <v>11.0</v>
      </c>
      <c r="AA67" s="10">
        <v>697.0</v>
      </c>
      <c r="AB67" s="10">
        <v>1978.0</v>
      </c>
      <c r="AC67" s="14"/>
      <c r="AD67" s="11" t="s">
        <v>147</v>
      </c>
      <c r="AE67" s="11" t="s">
        <v>149</v>
      </c>
      <c r="AF67" s="14"/>
      <c r="AG67" s="13">
        <v>46198.0</v>
      </c>
      <c r="AH67" s="13">
        <v>46265.0</v>
      </c>
      <c r="AI67" s="14"/>
      <c r="AJ67" s="10">
        <v>13288.0</v>
      </c>
      <c r="AK67" s="14"/>
      <c r="AL67" s="14"/>
      <c r="AM67" s="14"/>
      <c r="AN67" s="11">
        <v>1.397689121E9</v>
      </c>
      <c r="AO67" s="11">
        <v>9.62718144225E14</v>
      </c>
      <c r="AP67" s="11" t="s">
        <v>136</v>
      </c>
      <c r="AQ67" s="11" t="s">
        <v>136</v>
      </c>
      <c r="AR67" s="14"/>
      <c r="AS67" s="14"/>
      <c r="AT67" s="11" t="s">
        <v>219</v>
      </c>
      <c r="AU67" s="11" t="s">
        <v>160</v>
      </c>
      <c r="AV67" s="11" t="s">
        <v>162</v>
      </c>
      <c r="AW67" s="11" t="s">
        <v>1180</v>
      </c>
      <c r="AX67" s="11">
        <v>8.520379852E9</v>
      </c>
      <c r="AY67" s="11" t="s">
        <v>1181</v>
      </c>
      <c r="AZ67" s="11">
        <v>8.77738973E10</v>
      </c>
      <c r="BA67" s="11" t="s">
        <v>1182</v>
      </c>
      <c r="BB67" s="11" t="s">
        <v>526</v>
      </c>
    </row>
    <row r="68">
      <c r="A68" s="10">
        <v>218463.0</v>
      </c>
      <c r="B68" s="11" t="s">
        <v>218</v>
      </c>
      <c r="C68" s="11">
        <v>8.8222510571E10</v>
      </c>
      <c r="D68" s="11" t="s">
        <v>1183</v>
      </c>
      <c r="E68" s="11" t="s">
        <v>41</v>
      </c>
      <c r="F68" s="11" t="s">
        <v>122</v>
      </c>
      <c r="G68" s="11" t="s">
        <v>1184</v>
      </c>
      <c r="H68" s="13">
        <v>34161.0</v>
      </c>
      <c r="I68" s="10">
        <v>701.0</v>
      </c>
      <c r="J68" s="11" t="s">
        <v>128</v>
      </c>
      <c r="K68" s="11" t="s">
        <v>392</v>
      </c>
      <c r="L68" s="11" t="s">
        <v>131</v>
      </c>
      <c r="M68" s="10">
        <v>12.0</v>
      </c>
      <c r="N68" s="10">
        <v>701.0</v>
      </c>
      <c r="O68" s="10">
        <v>2137.0</v>
      </c>
      <c r="P68" s="11" t="s">
        <v>1185</v>
      </c>
      <c r="Q68" s="11" t="s">
        <v>136</v>
      </c>
      <c r="R68" s="13">
        <v>46055.0</v>
      </c>
      <c r="S68" s="11" t="s">
        <v>137</v>
      </c>
      <c r="T68" s="14"/>
      <c r="U68" s="13">
        <v>46265.0</v>
      </c>
      <c r="W68" s="14"/>
      <c r="X68" s="14"/>
      <c r="Y68" s="11" t="s">
        <v>861</v>
      </c>
      <c r="Z68" s="10">
        <v>12.0</v>
      </c>
      <c r="AA68" s="10">
        <v>718.0</v>
      </c>
      <c r="AB68" s="10">
        <v>2570.0</v>
      </c>
      <c r="AC68" s="14"/>
      <c r="AD68" s="11" t="s">
        <v>147</v>
      </c>
      <c r="AE68" s="11" t="s">
        <v>149</v>
      </c>
      <c r="AF68" s="14"/>
      <c r="AG68" s="13">
        <v>46167.0</v>
      </c>
      <c r="AH68" s="13">
        <v>46265.0</v>
      </c>
      <c r="AI68" s="14"/>
      <c r="AJ68" s="10">
        <v>13284.0</v>
      </c>
      <c r="AK68" s="14"/>
      <c r="AL68" s="14"/>
      <c r="AM68" s="14"/>
      <c r="AN68" s="14"/>
      <c r="AO68" s="14"/>
      <c r="AP68" s="11" t="s">
        <v>136</v>
      </c>
      <c r="AQ68" s="11" t="s">
        <v>136</v>
      </c>
      <c r="AR68" s="14"/>
      <c r="AS68" s="14"/>
      <c r="AT68" s="14"/>
      <c r="AU68" s="11" t="s">
        <v>160</v>
      </c>
      <c r="AV68" s="11" t="s">
        <v>1186</v>
      </c>
      <c r="AW68" s="11" t="s">
        <v>218</v>
      </c>
      <c r="AX68" s="11">
        <v>9.01129801442E11</v>
      </c>
      <c r="AY68" s="11" t="s">
        <v>1187</v>
      </c>
      <c r="AZ68" s="11">
        <v>8.31170248E10</v>
      </c>
      <c r="BA68" s="11" t="s">
        <v>1188</v>
      </c>
      <c r="BB68" s="11" t="s">
        <v>526</v>
      </c>
    </row>
    <row r="69">
      <c r="A69" s="10">
        <v>222092.0</v>
      </c>
      <c r="B69" s="11" t="s">
        <v>221</v>
      </c>
      <c r="C69" s="11">
        <v>8.9669375797E10</v>
      </c>
      <c r="D69" s="11" t="s">
        <v>1189</v>
      </c>
      <c r="E69" s="11" t="s">
        <v>41</v>
      </c>
      <c r="F69" s="11" t="s">
        <v>265</v>
      </c>
      <c r="G69" s="11" t="s">
        <v>1190</v>
      </c>
      <c r="H69" s="13">
        <v>36017.0</v>
      </c>
      <c r="I69" s="10">
        <v>796.0</v>
      </c>
      <c r="J69" s="11" t="s">
        <v>128</v>
      </c>
      <c r="K69" s="11" t="s">
        <v>130</v>
      </c>
      <c r="L69" s="11" t="s">
        <v>131</v>
      </c>
      <c r="M69" s="10">
        <v>15.0</v>
      </c>
      <c r="N69" s="10">
        <v>796.0</v>
      </c>
      <c r="O69" s="10">
        <v>3900.0</v>
      </c>
      <c r="P69" s="11" t="s">
        <v>1191</v>
      </c>
      <c r="Q69" s="11" t="s">
        <v>136</v>
      </c>
      <c r="R69" s="13">
        <v>46074.0</v>
      </c>
      <c r="S69" s="11" t="s">
        <v>137</v>
      </c>
      <c r="T69" s="14"/>
      <c r="U69" s="13">
        <v>46265.0</v>
      </c>
      <c r="W69" s="14"/>
      <c r="X69" s="14"/>
      <c r="Y69" s="11" t="s">
        <v>861</v>
      </c>
      <c r="Z69" s="10">
        <v>15.0</v>
      </c>
      <c r="AA69" s="10">
        <v>796.0</v>
      </c>
      <c r="AB69" s="10">
        <v>3900.0</v>
      </c>
      <c r="AC69" s="14"/>
      <c r="AD69" s="11" t="s">
        <v>147</v>
      </c>
      <c r="AE69" s="11" t="s">
        <v>149</v>
      </c>
      <c r="AF69" s="14"/>
      <c r="AG69" s="13">
        <v>46167.0</v>
      </c>
      <c r="AH69" s="13">
        <v>46265.0</v>
      </c>
      <c r="AI69" s="14"/>
      <c r="AJ69" s="10">
        <v>13550.0</v>
      </c>
      <c r="AK69" s="14"/>
      <c r="AL69" s="14"/>
      <c r="AM69" s="14"/>
      <c r="AN69" s="14"/>
      <c r="AO69" s="14"/>
      <c r="AP69" s="11" t="s">
        <v>136</v>
      </c>
      <c r="AQ69" s="11" t="s">
        <v>136</v>
      </c>
      <c r="AR69" s="14"/>
      <c r="AS69" s="14"/>
      <c r="AT69" s="14"/>
      <c r="AU69" s="11" t="s">
        <v>160</v>
      </c>
      <c r="AV69" s="11" t="s">
        <v>162</v>
      </c>
      <c r="AW69" s="11" t="s">
        <v>1192</v>
      </c>
      <c r="AX69" s="11">
        <v>3.310069298E9</v>
      </c>
      <c r="AY69" s="14"/>
      <c r="AZ69" s="14"/>
      <c r="BA69" s="14"/>
      <c r="BB69" s="14"/>
    </row>
    <row r="70">
      <c r="A70" s="10">
        <v>222239.0</v>
      </c>
      <c r="B70" s="11" t="s">
        <v>225</v>
      </c>
      <c r="C70" s="11">
        <v>8.5773050498E10</v>
      </c>
      <c r="D70" s="11" t="s">
        <v>1193</v>
      </c>
      <c r="E70" s="11" t="s">
        <v>789</v>
      </c>
      <c r="F70" s="11" t="s">
        <v>265</v>
      </c>
      <c r="G70" s="11" t="s">
        <v>1194</v>
      </c>
      <c r="H70" s="13">
        <v>35377.0</v>
      </c>
      <c r="I70" s="10">
        <v>758.0</v>
      </c>
      <c r="J70" s="11" t="s">
        <v>128</v>
      </c>
      <c r="K70" s="11" t="s">
        <v>130</v>
      </c>
      <c r="L70" s="11" t="s">
        <v>207</v>
      </c>
      <c r="M70" s="10">
        <v>16.0</v>
      </c>
      <c r="N70" s="10">
        <v>810.0</v>
      </c>
      <c r="O70" s="10">
        <v>4107.0</v>
      </c>
      <c r="P70" s="11" t="s">
        <v>1195</v>
      </c>
      <c r="Q70" s="11" t="s">
        <v>136</v>
      </c>
      <c r="R70" s="13">
        <v>46077.0</v>
      </c>
      <c r="S70" s="11" t="s">
        <v>137</v>
      </c>
      <c r="T70" s="14"/>
      <c r="U70" s="13">
        <v>46265.0</v>
      </c>
      <c r="W70" s="14"/>
      <c r="X70" s="14"/>
      <c r="Y70" s="11" t="s">
        <v>861</v>
      </c>
      <c r="Z70" s="10">
        <v>11.0</v>
      </c>
      <c r="AA70" s="10">
        <v>697.0</v>
      </c>
      <c r="AB70" s="10">
        <v>1973.0</v>
      </c>
      <c r="AC70" s="14"/>
      <c r="AD70" s="11" t="s">
        <v>147</v>
      </c>
      <c r="AE70" s="11" t="s">
        <v>149</v>
      </c>
      <c r="AF70" s="14"/>
      <c r="AG70" s="13">
        <v>46167.0</v>
      </c>
      <c r="AH70" s="13">
        <v>46265.0</v>
      </c>
      <c r="AI70" s="14"/>
      <c r="AJ70" s="10">
        <v>13551.0</v>
      </c>
      <c r="AK70" s="14"/>
      <c r="AL70" s="14"/>
      <c r="AM70" s="14"/>
      <c r="AN70" s="14"/>
      <c r="AO70" s="14"/>
      <c r="AP70" s="11" t="s">
        <v>136</v>
      </c>
      <c r="AQ70" s="11" t="s">
        <v>136</v>
      </c>
      <c r="AR70" s="14"/>
      <c r="AS70" s="14"/>
      <c r="AT70" s="14"/>
      <c r="AU70" s="11" t="s">
        <v>160</v>
      </c>
      <c r="AV70" s="11" t="s">
        <v>162</v>
      </c>
      <c r="AW70" s="11" t="s">
        <v>225</v>
      </c>
      <c r="AX70" s="11">
        <v>6.763031361E9</v>
      </c>
      <c r="AY70" s="11" t="s">
        <v>1196</v>
      </c>
      <c r="AZ70" s="11">
        <v>8.5717255118E10</v>
      </c>
      <c r="BA70" s="11" t="s">
        <v>1197</v>
      </c>
      <c r="BB70" s="11" t="s">
        <v>227</v>
      </c>
    </row>
    <row r="71">
      <c r="A71" s="10">
        <v>222521.0</v>
      </c>
      <c r="B71" s="11" t="s">
        <v>229</v>
      </c>
      <c r="C71" s="11">
        <v>8.1385983711E10</v>
      </c>
      <c r="D71" s="11" t="s">
        <v>1198</v>
      </c>
      <c r="E71" s="11" t="s">
        <v>611</v>
      </c>
      <c r="F71" s="11" t="s">
        <v>122</v>
      </c>
      <c r="G71" s="11" t="s">
        <v>1199</v>
      </c>
      <c r="H71" s="13">
        <v>38138.0</v>
      </c>
      <c r="I71" s="10">
        <v>697.0</v>
      </c>
      <c r="J71" s="11" t="s">
        <v>128</v>
      </c>
      <c r="K71" s="11" t="s">
        <v>130</v>
      </c>
      <c r="L71" s="11" t="s">
        <v>207</v>
      </c>
      <c r="M71" s="10">
        <v>11.0</v>
      </c>
      <c r="N71" s="10">
        <v>697.0</v>
      </c>
      <c r="O71" s="10">
        <v>1975.0</v>
      </c>
      <c r="P71" s="11" t="s">
        <v>1200</v>
      </c>
      <c r="Q71" s="11" t="s">
        <v>136</v>
      </c>
      <c r="R71" s="13">
        <v>46079.0</v>
      </c>
      <c r="S71" s="11" t="s">
        <v>137</v>
      </c>
      <c r="T71" s="14"/>
      <c r="U71" s="13">
        <v>46265.0</v>
      </c>
      <c r="W71" s="14"/>
      <c r="X71" s="14"/>
      <c r="Y71" s="11" t="s">
        <v>861</v>
      </c>
      <c r="Z71" s="10">
        <v>11.0</v>
      </c>
      <c r="AA71" s="10">
        <v>697.0</v>
      </c>
      <c r="AB71" s="10">
        <v>1973.0</v>
      </c>
      <c r="AC71" s="14"/>
      <c r="AD71" s="11" t="s">
        <v>147</v>
      </c>
      <c r="AE71" s="11" t="s">
        <v>149</v>
      </c>
      <c r="AF71" s="14"/>
      <c r="AG71" s="13">
        <v>46167.0</v>
      </c>
      <c r="AH71" s="13">
        <v>46265.0</v>
      </c>
      <c r="AI71" s="14"/>
      <c r="AJ71" s="10">
        <v>13348.0</v>
      </c>
      <c r="AK71" s="14"/>
      <c r="AL71" s="14"/>
      <c r="AM71" s="14"/>
      <c r="AN71" s="11">
        <v>2.040067732E9</v>
      </c>
      <c r="AO71" s="14"/>
      <c r="AP71" s="11" t="s">
        <v>136</v>
      </c>
      <c r="AQ71" s="11" t="s">
        <v>136</v>
      </c>
      <c r="AR71" s="14"/>
      <c r="AS71" s="14"/>
      <c r="AT71" s="14"/>
      <c r="AU71" s="11" t="s">
        <v>160</v>
      </c>
      <c r="AV71" s="11" t="s">
        <v>162</v>
      </c>
      <c r="AW71" s="11" t="s">
        <v>229</v>
      </c>
      <c r="AX71" s="11">
        <v>9.30183628E8</v>
      </c>
      <c r="AY71" s="14"/>
      <c r="AZ71" s="14"/>
      <c r="BA71" s="14"/>
      <c r="BB71" s="14"/>
    </row>
    <row r="72">
      <c r="A72" s="10">
        <v>223064.0</v>
      </c>
      <c r="B72" s="11" t="s">
        <v>231</v>
      </c>
      <c r="C72" s="11">
        <v>8.2213650585E10</v>
      </c>
      <c r="D72" s="11" t="s">
        <v>1201</v>
      </c>
      <c r="E72" s="11" t="s">
        <v>41</v>
      </c>
      <c r="F72" s="11" t="s">
        <v>122</v>
      </c>
      <c r="G72" s="11" t="s">
        <v>1202</v>
      </c>
      <c r="H72" s="13">
        <v>37511.0</v>
      </c>
      <c r="I72" s="10">
        <v>889.0</v>
      </c>
      <c r="J72" s="11" t="s">
        <v>128</v>
      </c>
      <c r="K72" s="11" t="s">
        <v>130</v>
      </c>
      <c r="L72" s="11" t="s">
        <v>408</v>
      </c>
      <c r="M72" s="10">
        <v>22.0</v>
      </c>
      <c r="N72" s="10">
        <v>889.0</v>
      </c>
      <c r="O72" s="10">
        <v>5039.0</v>
      </c>
      <c r="P72" s="11" t="s">
        <v>1203</v>
      </c>
      <c r="Q72" s="11" t="s">
        <v>136</v>
      </c>
      <c r="R72" s="13">
        <v>46083.0</v>
      </c>
      <c r="S72" s="11" t="s">
        <v>137</v>
      </c>
      <c r="T72" s="14"/>
      <c r="U72" s="13">
        <v>46265.0</v>
      </c>
      <c r="W72" s="14"/>
      <c r="X72" s="14"/>
      <c r="Y72" s="11" t="s">
        <v>861</v>
      </c>
      <c r="Z72" s="10">
        <v>22.0</v>
      </c>
      <c r="AA72" s="10">
        <v>889.0</v>
      </c>
      <c r="AB72" s="14"/>
      <c r="AC72" s="14"/>
      <c r="AD72" s="11" t="s">
        <v>147</v>
      </c>
      <c r="AE72" s="11" t="s">
        <v>149</v>
      </c>
      <c r="AF72" s="14"/>
      <c r="AG72" s="13">
        <v>46198.0</v>
      </c>
      <c r="AH72" s="13">
        <v>46265.0</v>
      </c>
      <c r="AI72" s="14"/>
      <c r="AJ72" s="10">
        <v>12738.0</v>
      </c>
      <c r="AK72" s="14"/>
      <c r="AL72" s="14"/>
      <c r="AM72" s="14"/>
      <c r="AN72" s="11">
        <v>2.746506115E9</v>
      </c>
      <c r="AO72" s="14"/>
      <c r="AP72" s="11" t="s">
        <v>136</v>
      </c>
      <c r="AQ72" s="11" t="s">
        <v>136</v>
      </c>
      <c r="AR72" s="14"/>
      <c r="AS72" s="14"/>
      <c r="AT72" s="11" t="s">
        <v>158</v>
      </c>
      <c r="AU72" s="11" t="s">
        <v>160</v>
      </c>
      <c r="AV72" s="11" t="s">
        <v>742</v>
      </c>
      <c r="AW72" s="11" t="s">
        <v>231</v>
      </c>
      <c r="AX72" s="11">
        <v>4.50101007823504E14</v>
      </c>
      <c r="AY72" s="11" t="s">
        <v>1204</v>
      </c>
      <c r="AZ72" s="11">
        <v>8.3121259582E10</v>
      </c>
      <c r="BA72" s="11" t="s">
        <v>1203</v>
      </c>
      <c r="BB72" s="11" t="s">
        <v>227</v>
      </c>
    </row>
    <row r="73">
      <c r="A73" s="10">
        <v>223072.0</v>
      </c>
      <c r="B73" s="11" t="s">
        <v>233</v>
      </c>
      <c r="C73" s="11">
        <v>8.5231231536E10</v>
      </c>
      <c r="D73" s="11" t="s">
        <v>1205</v>
      </c>
      <c r="E73" s="11" t="s">
        <v>41</v>
      </c>
      <c r="F73" s="11" t="s">
        <v>122</v>
      </c>
      <c r="G73" s="11" t="s">
        <v>1206</v>
      </c>
      <c r="H73" s="13">
        <v>37232.0</v>
      </c>
      <c r="I73" s="10">
        <v>774.0</v>
      </c>
      <c r="J73" s="11" t="s">
        <v>128</v>
      </c>
      <c r="K73" s="11" t="s">
        <v>333</v>
      </c>
      <c r="L73" s="11" t="s">
        <v>207</v>
      </c>
      <c r="M73" s="10">
        <v>17.0</v>
      </c>
      <c r="N73" s="10">
        <v>819.0</v>
      </c>
      <c r="O73" s="10">
        <v>4162.0</v>
      </c>
      <c r="P73" s="11" t="s">
        <v>1207</v>
      </c>
      <c r="Q73" s="11" t="s">
        <v>136</v>
      </c>
      <c r="R73" s="13">
        <v>46084.0</v>
      </c>
      <c r="S73" s="11" t="s">
        <v>137</v>
      </c>
      <c r="T73" s="14"/>
      <c r="U73" s="13">
        <v>46265.0</v>
      </c>
      <c r="W73" s="14"/>
      <c r="X73" s="14"/>
      <c r="Y73" s="11" t="s">
        <v>861</v>
      </c>
      <c r="Z73" s="10">
        <v>17.0</v>
      </c>
      <c r="AA73" s="10">
        <v>819.0</v>
      </c>
      <c r="AB73" s="10">
        <v>4162.0</v>
      </c>
      <c r="AC73" s="14"/>
      <c r="AD73" s="11" t="s">
        <v>147</v>
      </c>
      <c r="AE73" s="11" t="s">
        <v>149</v>
      </c>
      <c r="AF73" s="14"/>
      <c r="AG73" s="13">
        <v>46198.0</v>
      </c>
      <c r="AH73" s="13">
        <v>46265.0</v>
      </c>
      <c r="AI73" s="14"/>
      <c r="AJ73" s="10">
        <v>13573.0</v>
      </c>
      <c r="AK73" s="14"/>
      <c r="AL73" s="14"/>
      <c r="AM73" s="14"/>
      <c r="AN73" s="11">
        <v>3.120617946E9</v>
      </c>
      <c r="AO73" s="14"/>
      <c r="AP73" s="11" t="s">
        <v>136</v>
      </c>
      <c r="AQ73" s="11" t="s">
        <v>136</v>
      </c>
      <c r="AR73" s="14"/>
      <c r="AS73" s="14"/>
      <c r="AT73" s="14"/>
      <c r="AU73" s="11" t="s">
        <v>160</v>
      </c>
      <c r="AV73" s="11" t="s">
        <v>162</v>
      </c>
      <c r="AW73" s="11" t="s">
        <v>233</v>
      </c>
      <c r="AX73" s="11">
        <v>3.510460391E9</v>
      </c>
      <c r="AY73" s="14"/>
      <c r="AZ73" s="14"/>
      <c r="BA73" s="14"/>
      <c r="BB73" s="14"/>
    </row>
    <row r="74">
      <c r="A74" s="10">
        <v>223204.0</v>
      </c>
      <c r="B74" s="11" t="s">
        <v>235</v>
      </c>
      <c r="C74" s="11">
        <v>8.95286461E10</v>
      </c>
      <c r="D74" s="11" t="s">
        <v>1208</v>
      </c>
      <c r="E74" s="11" t="s">
        <v>41</v>
      </c>
      <c r="F74" s="11" t="s">
        <v>122</v>
      </c>
      <c r="G74" s="11" t="s">
        <v>1209</v>
      </c>
      <c r="H74" s="13">
        <v>35129.0</v>
      </c>
      <c r="I74" s="10">
        <v>768.0</v>
      </c>
      <c r="J74" s="11" t="s">
        <v>128</v>
      </c>
      <c r="K74" s="11" t="s">
        <v>333</v>
      </c>
      <c r="L74" s="11" t="s">
        <v>131</v>
      </c>
      <c r="M74" s="10">
        <v>15.0</v>
      </c>
      <c r="N74" s="10">
        <v>801.0</v>
      </c>
      <c r="O74" s="10">
        <v>3936.0</v>
      </c>
      <c r="P74" s="11" t="s">
        <v>1210</v>
      </c>
      <c r="Q74" s="11" t="s">
        <v>136</v>
      </c>
      <c r="R74" s="13">
        <v>46084.0</v>
      </c>
      <c r="S74" s="11" t="s">
        <v>137</v>
      </c>
      <c r="T74" s="14"/>
      <c r="U74" s="13">
        <v>46265.0</v>
      </c>
      <c r="W74" s="14"/>
      <c r="X74" s="14"/>
      <c r="Y74" s="11" t="s">
        <v>861</v>
      </c>
      <c r="Z74" s="10">
        <v>15.0</v>
      </c>
      <c r="AA74" s="10">
        <v>801.0</v>
      </c>
      <c r="AB74" s="10">
        <v>3927.0</v>
      </c>
      <c r="AC74" s="14"/>
      <c r="AD74" s="11" t="s">
        <v>147</v>
      </c>
      <c r="AE74" s="11" t="s">
        <v>149</v>
      </c>
      <c r="AF74" s="11" t="s">
        <v>1211</v>
      </c>
      <c r="AG74" s="13">
        <v>46198.0</v>
      </c>
      <c r="AH74" s="13">
        <v>46265.0</v>
      </c>
      <c r="AI74" s="14"/>
      <c r="AJ74" s="10">
        <v>11158.0</v>
      </c>
      <c r="AK74" s="14"/>
      <c r="AL74" s="14"/>
      <c r="AM74" s="14"/>
      <c r="AN74" s="11">
        <v>1.394073595E9</v>
      </c>
      <c r="AO74" s="11">
        <v>9.01723981619E14</v>
      </c>
      <c r="AP74" s="11" t="s">
        <v>136</v>
      </c>
      <c r="AQ74" s="11" t="s">
        <v>136</v>
      </c>
      <c r="AR74" s="14"/>
      <c r="AS74" s="14"/>
      <c r="AT74" s="11" t="s">
        <v>1212</v>
      </c>
      <c r="AU74" s="11" t="s">
        <v>160</v>
      </c>
      <c r="AV74" s="11" t="s">
        <v>162</v>
      </c>
      <c r="AW74" s="11" t="s">
        <v>235</v>
      </c>
      <c r="AX74" s="11">
        <v>1.011824809E9</v>
      </c>
      <c r="AY74" s="11" t="s">
        <v>1213</v>
      </c>
      <c r="AZ74" s="11">
        <v>8.95353750803E11</v>
      </c>
      <c r="BA74" s="11" t="s">
        <v>1210</v>
      </c>
      <c r="BB74" s="11" t="s">
        <v>170</v>
      </c>
    </row>
    <row r="75">
      <c r="A75" s="10">
        <v>224303.0</v>
      </c>
      <c r="B75" s="11" t="s">
        <v>238</v>
      </c>
      <c r="C75" s="11">
        <v>8.5693115913E10</v>
      </c>
      <c r="D75" s="11" t="s">
        <v>1214</v>
      </c>
      <c r="E75" s="11" t="s">
        <v>41</v>
      </c>
      <c r="F75" s="11" t="s">
        <v>265</v>
      </c>
      <c r="G75" s="11" t="s">
        <v>1215</v>
      </c>
      <c r="H75" s="13">
        <v>36550.0</v>
      </c>
      <c r="I75" s="10">
        <v>693.0</v>
      </c>
      <c r="J75" s="11" t="s">
        <v>128</v>
      </c>
      <c r="K75" s="11" t="s">
        <v>392</v>
      </c>
      <c r="L75" s="11" t="s">
        <v>207</v>
      </c>
      <c r="M75" s="10">
        <v>11.0</v>
      </c>
      <c r="N75" s="10">
        <v>693.0</v>
      </c>
      <c r="O75" s="10">
        <v>1989.0</v>
      </c>
      <c r="P75" s="11" t="s">
        <v>1216</v>
      </c>
      <c r="Q75" s="11" t="s">
        <v>136</v>
      </c>
      <c r="R75" s="13">
        <v>46085.0</v>
      </c>
      <c r="S75" s="11" t="s">
        <v>137</v>
      </c>
      <c r="T75" s="14"/>
      <c r="U75" s="13">
        <v>46265.0</v>
      </c>
      <c r="W75" s="14"/>
      <c r="X75" s="14"/>
      <c r="Y75" s="11" t="s">
        <v>861</v>
      </c>
      <c r="Z75" s="10">
        <v>11.0</v>
      </c>
      <c r="AA75" s="10">
        <v>693.0</v>
      </c>
      <c r="AB75" s="10">
        <v>1991.0</v>
      </c>
      <c r="AC75" s="14"/>
      <c r="AD75" s="11" t="s">
        <v>147</v>
      </c>
      <c r="AE75" s="11" t="s">
        <v>149</v>
      </c>
      <c r="AF75" s="14"/>
      <c r="AG75" s="13">
        <v>46198.0</v>
      </c>
      <c r="AH75" s="13">
        <v>46265.0</v>
      </c>
      <c r="AI75" s="14"/>
      <c r="AJ75" s="10">
        <v>13598.0</v>
      </c>
      <c r="AK75" s="14"/>
      <c r="AL75" s="14"/>
      <c r="AM75" s="11">
        <v>2.5097801762E10</v>
      </c>
      <c r="AN75" s="11">
        <v>2.087418982E9</v>
      </c>
      <c r="AO75" s="11">
        <v>9.45682458017E14</v>
      </c>
      <c r="AP75" s="11" t="s">
        <v>136</v>
      </c>
      <c r="AQ75" s="11" t="s">
        <v>136</v>
      </c>
      <c r="AR75" s="14"/>
      <c r="AS75" s="14"/>
      <c r="AT75" s="11" t="s">
        <v>219</v>
      </c>
      <c r="AU75" s="11" t="s">
        <v>160</v>
      </c>
      <c r="AV75" s="11" t="s">
        <v>162</v>
      </c>
      <c r="AW75" s="11" t="s">
        <v>238</v>
      </c>
      <c r="AX75" s="11">
        <v>2.86022958E9</v>
      </c>
      <c r="AY75" s="11" t="s">
        <v>1217</v>
      </c>
      <c r="AZ75" s="11">
        <v>8.1809699669E10</v>
      </c>
      <c r="BA75" s="11" t="s">
        <v>1218</v>
      </c>
      <c r="BB75" s="11" t="s">
        <v>526</v>
      </c>
    </row>
    <row r="76">
      <c r="A76" s="10">
        <v>224929.0</v>
      </c>
      <c r="B76" s="11" t="s">
        <v>241</v>
      </c>
      <c r="C76" s="11">
        <v>8.5959534528E10</v>
      </c>
      <c r="D76" s="11" t="s">
        <v>1219</v>
      </c>
      <c r="E76" s="11" t="s">
        <v>704</v>
      </c>
      <c r="F76" s="11" t="s">
        <v>265</v>
      </c>
      <c r="G76" s="11" t="s">
        <v>1220</v>
      </c>
      <c r="H76" s="13">
        <v>34538.0</v>
      </c>
      <c r="I76" s="10">
        <v>801.0</v>
      </c>
      <c r="J76" s="11" t="s">
        <v>128</v>
      </c>
      <c r="K76" s="11" t="s">
        <v>706</v>
      </c>
      <c r="L76" s="11" t="s">
        <v>207</v>
      </c>
      <c r="M76" s="10">
        <v>15.0</v>
      </c>
      <c r="N76" s="10">
        <v>801.0</v>
      </c>
      <c r="O76" s="10">
        <v>3920.0</v>
      </c>
      <c r="P76" s="11" t="s">
        <v>1221</v>
      </c>
      <c r="Q76" s="11" t="s">
        <v>136</v>
      </c>
      <c r="R76" s="13">
        <v>46083.0</v>
      </c>
      <c r="S76" s="11" t="s">
        <v>137</v>
      </c>
      <c r="T76" s="14"/>
      <c r="U76" s="13">
        <v>46265.0</v>
      </c>
      <c r="W76" s="14"/>
      <c r="X76" s="14"/>
      <c r="Y76" s="11" t="s">
        <v>861</v>
      </c>
      <c r="Z76" s="10">
        <v>15.0</v>
      </c>
      <c r="AA76" s="10">
        <v>801.0</v>
      </c>
      <c r="AB76" s="10">
        <v>3923.0</v>
      </c>
      <c r="AC76" s="14"/>
      <c r="AD76" s="11" t="s">
        <v>147</v>
      </c>
      <c r="AE76" s="11" t="s">
        <v>149</v>
      </c>
      <c r="AF76" s="14"/>
      <c r="AG76" s="13">
        <v>46198.0</v>
      </c>
      <c r="AH76" s="13">
        <v>46265.0</v>
      </c>
      <c r="AI76" s="14"/>
      <c r="AJ76" s="10">
        <v>11181.0</v>
      </c>
      <c r="AK76" s="14"/>
      <c r="AL76" s="14"/>
      <c r="AM76" s="11">
        <v>2.3123892491E10</v>
      </c>
      <c r="AN76" s="11">
        <v>1.394418047E9</v>
      </c>
      <c r="AO76" s="14"/>
      <c r="AP76" s="11" t="s">
        <v>136</v>
      </c>
      <c r="AQ76" s="11" t="s">
        <v>136</v>
      </c>
      <c r="AR76" s="14"/>
      <c r="AS76" s="14"/>
      <c r="AT76" s="11" t="s">
        <v>219</v>
      </c>
      <c r="AU76" s="11" t="s">
        <v>160</v>
      </c>
      <c r="AV76" s="11" t="s">
        <v>742</v>
      </c>
      <c r="AW76" s="11" t="s">
        <v>1222</v>
      </c>
      <c r="AX76" s="11">
        <v>9.601180420509E12</v>
      </c>
      <c r="AY76" s="14"/>
      <c r="AZ76" s="14"/>
      <c r="BA76" s="14"/>
      <c r="BB76" s="14"/>
    </row>
    <row r="77">
      <c r="A77" s="10">
        <v>230339.0</v>
      </c>
      <c r="B77" s="11" t="s">
        <v>242</v>
      </c>
      <c r="C77" s="11">
        <v>8.5656271235E10</v>
      </c>
      <c r="D77" s="11" t="s">
        <v>1223</v>
      </c>
      <c r="E77" s="11" t="s">
        <v>41</v>
      </c>
      <c r="F77" s="11" t="s">
        <v>122</v>
      </c>
      <c r="G77" s="11" t="s">
        <v>1224</v>
      </c>
      <c r="H77" s="13">
        <v>37717.0</v>
      </c>
      <c r="I77" s="10">
        <v>852.0</v>
      </c>
      <c r="J77" s="11" t="s">
        <v>128</v>
      </c>
      <c r="K77" s="11" t="s">
        <v>706</v>
      </c>
      <c r="L77" s="11" t="s">
        <v>207</v>
      </c>
      <c r="M77" s="10">
        <v>20.0</v>
      </c>
      <c r="N77" s="10">
        <v>865.0</v>
      </c>
      <c r="O77" s="10">
        <v>4770.0</v>
      </c>
      <c r="P77" s="11" t="s">
        <v>1225</v>
      </c>
      <c r="Q77" s="11" t="s">
        <v>136</v>
      </c>
      <c r="R77" s="13">
        <v>46119.0</v>
      </c>
      <c r="S77" s="11" t="s">
        <v>137</v>
      </c>
      <c r="T77" s="14"/>
      <c r="U77" s="13">
        <v>46265.0</v>
      </c>
      <c r="W77" s="11" t="s">
        <v>143</v>
      </c>
      <c r="X77" s="14"/>
      <c r="Y77" s="11" t="s">
        <v>861</v>
      </c>
      <c r="Z77" s="10">
        <v>20.0</v>
      </c>
      <c r="AA77" s="10">
        <v>865.0</v>
      </c>
      <c r="AB77" s="10">
        <v>4767.0</v>
      </c>
      <c r="AC77" s="14"/>
      <c r="AD77" s="11" t="s">
        <v>147</v>
      </c>
      <c r="AE77" s="11" t="s">
        <v>149</v>
      </c>
      <c r="AF77" s="14"/>
      <c r="AG77" s="13">
        <v>46228.0</v>
      </c>
      <c r="AH77" s="13">
        <v>46265.0</v>
      </c>
      <c r="AI77" s="14"/>
      <c r="AJ77" s="10">
        <v>13722.0</v>
      </c>
      <c r="AK77" s="14"/>
      <c r="AL77" s="14"/>
      <c r="AM77" s="14"/>
      <c r="AN77" s="14"/>
      <c r="AO77" s="14"/>
      <c r="AP77" s="11" t="s">
        <v>136</v>
      </c>
      <c r="AQ77" s="11" t="s">
        <v>136</v>
      </c>
      <c r="AR77" s="14"/>
      <c r="AS77" s="14"/>
      <c r="AT77" s="14"/>
      <c r="AU77" s="11" t="s">
        <v>160</v>
      </c>
      <c r="AV77" s="11" t="s">
        <v>162</v>
      </c>
      <c r="AW77" s="11" t="s">
        <v>1226</v>
      </c>
      <c r="AX77" s="11">
        <v>8.171876893E9</v>
      </c>
      <c r="AY77" s="11" t="s">
        <v>1227</v>
      </c>
      <c r="AZ77" s="11">
        <v>8.3199474587E10</v>
      </c>
      <c r="BA77" s="11" t="s">
        <v>1228</v>
      </c>
      <c r="BB77" s="11" t="s">
        <v>198</v>
      </c>
    </row>
    <row r="78">
      <c r="A78" s="10">
        <v>233463.0</v>
      </c>
      <c r="B78" s="11" t="s">
        <v>243</v>
      </c>
      <c r="C78" s="11">
        <v>8.9684056159E10</v>
      </c>
      <c r="D78" s="11" t="s">
        <v>1229</v>
      </c>
      <c r="E78" s="11" t="s">
        <v>41</v>
      </c>
      <c r="F78" s="11" t="s">
        <v>122</v>
      </c>
      <c r="G78" s="11" t="s">
        <v>1230</v>
      </c>
      <c r="H78" s="13">
        <v>35910.0</v>
      </c>
      <c r="I78" s="10">
        <v>957.0</v>
      </c>
      <c r="J78" s="11" t="s">
        <v>128</v>
      </c>
      <c r="K78" s="11" t="s">
        <v>130</v>
      </c>
      <c r="L78" s="11" t="s">
        <v>207</v>
      </c>
      <c r="M78" s="10">
        <v>27.0</v>
      </c>
      <c r="N78" s="10">
        <v>957.0</v>
      </c>
      <c r="O78" s="10">
        <v>5860.0</v>
      </c>
      <c r="P78" s="11" t="s">
        <v>1231</v>
      </c>
      <c r="Q78" s="11" t="s">
        <v>136</v>
      </c>
      <c r="R78" s="13">
        <v>46128.0</v>
      </c>
      <c r="S78" s="11" t="s">
        <v>137</v>
      </c>
      <c r="T78" s="14"/>
      <c r="U78" s="13">
        <v>46265.0</v>
      </c>
      <c r="W78" s="11" t="s">
        <v>143</v>
      </c>
      <c r="X78" s="14"/>
      <c r="Y78" s="11" t="s">
        <v>861</v>
      </c>
      <c r="Z78" s="10">
        <v>27.0</v>
      </c>
      <c r="AA78" s="10">
        <v>957.0</v>
      </c>
      <c r="AB78" s="14"/>
      <c r="AC78" s="14"/>
      <c r="AD78" s="11" t="s">
        <v>147</v>
      </c>
      <c r="AE78" s="11" t="s">
        <v>149</v>
      </c>
      <c r="AF78" s="14"/>
      <c r="AG78" s="13">
        <v>46228.0</v>
      </c>
      <c r="AH78" s="13">
        <v>46265.0</v>
      </c>
      <c r="AI78" s="14"/>
      <c r="AJ78" s="10">
        <v>11090.0</v>
      </c>
      <c r="AK78" s="14"/>
      <c r="AL78" s="14"/>
      <c r="AM78" s="14"/>
      <c r="AN78" s="14"/>
      <c r="AO78" s="14"/>
      <c r="AP78" s="11" t="s">
        <v>136</v>
      </c>
      <c r="AQ78" s="11" t="s">
        <v>136</v>
      </c>
      <c r="AR78" s="14"/>
      <c r="AS78" s="14"/>
      <c r="AT78" s="14"/>
      <c r="AU78" s="11" t="s">
        <v>160</v>
      </c>
      <c r="AV78" s="11" t="s">
        <v>162</v>
      </c>
      <c r="AW78" s="11" t="s">
        <v>1232</v>
      </c>
      <c r="AX78" s="11">
        <v>7.685985489E9</v>
      </c>
      <c r="AY78" s="14"/>
      <c r="AZ78" s="14"/>
      <c r="BA78" s="14"/>
      <c r="BB78" s="14"/>
    </row>
    <row r="79">
      <c r="A79" s="10">
        <v>236267.0</v>
      </c>
      <c r="B79" s="11" t="s">
        <v>245</v>
      </c>
      <c r="C79" s="11">
        <v>8.5647144195E10</v>
      </c>
      <c r="D79" s="11" t="s">
        <v>1233</v>
      </c>
      <c r="E79" s="11" t="s">
        <v>41</v>
      </c>
      <c r="F79" s="11" t="s">
        <v>122</v>
      </c>
      <c r="G79" s="11" t="s">
        <v>1234</v>
      </c>
      <c r="H79" s="13">
        <v>34851.0</v>
      </c>
      <c r="I79" s="10">
        <v>747.0</v>
      </c>
      <c r="J79" s="11" t="s">
        <v>128</v>
      </c>
      <c r="K79" s="11" t="s">
        <v>392</v>
      </c>
      <c r="L79" s="11" t="s">
        <v>131</v>
      </c>
      <c r="M79" s="10">
        <v>13.0</v>
      </c>
      <c r="N79" s="10">
        <v>747.0</v>
      </c>
      <c r="O79" s="10">
        <v>3053.0</v>
      </c>
      <c r="P79" s="11" t="s">
        <v>1235</v>
      </c>
      <c r="Q79" s="11" t="s">
        <v>136</v>
      </c>
      <c r="R79" s="13">
        <v>46141.0</v>
      </c>
      <c r="S79" s="11" t="s">
        <v>137</v>
      </c>
      <c r="T79" s="14"/>
      <c r="U79" s="13">
        <v>46265.0</v>
      </c>
      <c r="W79" s="14"/>
      <c r="X79" s="14"/>
      <c r="Y79" s="11" t="s">
        <v>861</v>
      </c>
      <c r="Z79" s="10">
        <v>13.0</v>
      </c>
      <c r="AA79" s="10">
        <v>747.0</v>
      </c>
      <c r="AB79" s="14"/>
      <c r="AC79" s="14"/>
      <c r="AD79" s="11" t="s">
        <v>147</v>
      </c>
      <c r="AE79" s="11" t="s">
        <v>149</v>
      </c>
      <c r="AF79" s="14"/>
      <c r="AG79" s="13">
        <v>46228.0</v>
      </c>
      <c r="AH79" s="13">
        <v>46265.0</v>
      </c>
      <c r="AI79" s="14"/>
      <c r="AJ79" s="10">
        <v>11214.0</v>
      </c>
      <c r="AK79" s="14"/>
      <c r="AL79" s="14"/>
      <c r="AM79" s="14"/>
      <c r="AN79" s="14"/>
      <c r="AO79" s="11">
        <v>3.91400389533E14</v>
      </c>
      <c r="AP79" s="11" t="s">
        <v>136</v>
      </c>
      <c r="AQ79" s="11" t="s">
        <v>136</v>
      </c>
      <c r="AR79" s="14"/>
      <c r="AS79" s="14"/>
      <c r="AT79" s="11" t="s">
        <v>189</v>
      </c>
      <c r="AU79" s="11" t="s">
        <v>160</v>
      </c>
      <c r="AV79" s="11" t="s">
        <v>742</v>
      </c>
      <c r="AW79" s="11" t="s">
        <v>245</v>
      </c>
      <c r="AX79" s="11">
        <v>6.91801040371539E14</v>
      </c>
      <c r="AY79" s="11" t="s">
        <v>1236</v>
      </c>
      <c r="AZ79" s="11">
        <v>8.1280583134E10</v>
      </c>
      <c r="BA79" s="11" t="s">
        <v>1237</v>
      </c>
      <c r="BB79" s="11" t="s">
        <v>170</v>
      </c>
    </row>
    <row r="80">
      <c r="A80" s="10">
        <v>236271.0</v>
      </c>
      <c r="B80" s="11" t="s">
        <v>247</v>
      </c>
      <c r="C80" s="11">
        <v>8.973123823E9</v>
      </c>
      <c r="D80" s="11" t="s">
        <v>1238</v>
      </c>
      <c r="E80" s="11" t="s">
        <v>41</v>
      </c>
      <c r="F80" s="11" t="s">
        <v>122</v>
      </c>
      <c r="G80" s="11" t="s">
        <v>1239</v>
      </c>
      <c r="H80" s="13">
        <v>38188.0</v>
      </c>
      <c r="I80" s="10">
        <v>757.0</v>
      </c>
      <c r="J80" s="11" t="s">
        <v>128</v>
      </c>
      <c r="K80" s="11" t="s">
        <v>392</v>
      </c>
      <c r="L80" s="11" t="s">
        <v>207</v>
      </c>
      <c r="M80" s="10">
        <v>13.0</v>
      </c>
      <c r="N80" s="10">
        <v>757.0</v>
      </c>
      <c r="O80" s="10">
        <v>3200.0</v>
      </c>
      <c r="P80" s="11" t="s">
        <v>1240</v>
      </c>
      <c r="Q80" s="11" t="s">
        <v>136</v>
      </c>
      <c r="R80" s="13">
        <v>46146.0</v>
      </c>
      <c r="S80" s="11" t="s">
        <v>137</v>
      </c>
      <c r="T80" s="14"/>
      <c r="U80" s="13">
        <v>46265.0</v>
      </c>
      <c r="W80" s="11" t="s">
        <v>143</v>
      </c>
      <c r="X80" s="14"/>
      <c r="Y80" s="11" t="s">
        <v>861</v>
      </c>
      <c r="Z80" s="10">
        <v>13.0</v>
      </c>
      <c r="AA80" s="10">
        <v>757.0</v>
      </c>
      <c r="AB80" s="10">
        <v>3192.0</v>
      </c>
      <c r="AC80" s="14"/>
      <c r="AD80" s="11" t="s">
        <v>147</v>
      </c>
      <c r="AE80" s="11" t="s">
        <v>149</v>
      </c>
      <c r="AF80" s="14"/>
      <c r="AG80" s="13">
        <v>46146.0</v>
      </c>
      <c r="AH80" s="13">
        <v>46265.0</v>
      </c>
      <c r="AI80" s="14"/>
      <c r="AJ80" s="10">
        <v>13050.0</v>
      </c>
      <c r="AK80" s="14"/>
      <c r="AL80" s="14"/>
      <c r="AM80" s="14"/>
      <c r="AN80" s="11">
        <v>1.697940358E9</v>
      </c>
      <c r="AO80" s="11" t="s">
        <v>1239</v>
      </c>
      <c r="AP80" s="11" t="s">
        <v>136</v>
      </c>
      <c r="AQ80" s="11" t="s">
        <v>136</v>
      </c>
      <c r="AR80" s="14"/>
      <c r="AS80" s="14"/>
      <c r="AT80" s="11" t="s">
        <v>219</v>
      </c>
      <c r="AU80" s="11" t="s">
        <v>160</v>
      </c>
      <c r="AV80" s="11" t="s">
        <v>162</v>
      </c>
      <c r="AW80" s="11" t="s">
        <v>1241</v>
      </c>
      <c r="AX80" s="11">
        <v>8.715675648E9</v>
      </c>
      <c r="AY80" s="11" t="s">
        <v>1242</v>
      </c>
      <c r="AZ80" s="11">
        <v>8.9516162662E10</v>
      </c>
      <c r="BA80" s="11" t="s">
        <v>1243</v>
      </c>
      <c r="BB80" s="11" t="s">
        <v>488</v>
      </c>
    </row>
    <row r="81">
      <c r="A81" s="10">
        <v>236272.0</v>
      </c>
      <c r="B81" s="11" t="s">
        <v>250</v>
      </c>
      <c r="C81" s="11">
        <v>8.1910263671E10</v>
      </c>
      <c r="D81" s="11" t="s">
        <v>1244</v>
      </c>
      <c r="E81" s="11" t="s">
        <v>41</v>
      </c>
      <c r="F81" s="11" t="s">
        <v>265</v>
      </c>
      <c r="G81" s="11" t="s">
        <v>1245</v>
      </c>
      <c r="H81" s="13">
        <v>39236.0</v>
      </c>
      <c r="I81" s="10">
        <v>758.0</v>
      </c>
      <c r="J81" s="11" t="s">
        <v>419</v>
      </c>
      <c r="K81" s="14"/>
      <c r="L81" s="11" t="s">
        <v>207</v>
      </c>
      <c r="M81" s="10">
        <v>13.0</v>
      </c>
      <c r="N81" s="10">
        <v>750.0</v>
      </c>
      <c r="O81" s="14"/>
      <c r="P81" s="11" t="s">
        <v>1246</v>
      </c>
      <c r="Q81" s="11" t="s">
        <v>136</v>
      </c>
      <c r="R81" s="13">
        <v>46141.0</v>
      </c>
      <c r="S81" s="11" t="s">
        <v>137</v>
      </c>
      <c r="T81" s="14"/>
      <c r="U81" s="13">
        <v>46265.0</v>
      </c>
      <c r="W81" s="14"/>
      <c r="X81" s="14"/>
      <c r="Y81" s="11" t="s">
        <v>861</v>
      </c>
      <c r="Z81" s="10">
        <v>13.0</v>
      </c>
      <c r="AA81" s="10">
        <v>758.0</v>
      </c>
      <c r="AB81" s="10">
        <v>3202.0</v>
      </c>
      <c r="AC81" s="14"/>
      <c r="AD81" s="11" t="s">
        <v>147</v>
      </c>
      <c r="AE81" s="11" t="s">
        <v>149</v>
      </c>
      <c r="AF81" s="14"/>
      <c r="AG81" s="13">
        <v>46228.0</v>
      </c>
      <c r="AH81" s="13">
        <v>46265.0</v>
      </c>
      <c r="AI81" s="14"/>
      <c r="AJ81" s="10">
        <v>12345.0</v>
      </c>
      <c r="AK81" s="14"/>
      <c r="AL81" s="14"/>
      <c r="AM81" s="14"/>
      <c r="AN81" s="14"/>
      <c r="AO81" s="14"/>
      <c r="AP81" s="11" t="s">
        <v>136</v>
      </c>
      <c r="AQ81" s="11" t="s">
        <v>136</v>
      </c>
      <c r="AR81" s="14"/>
      <c r="AS81" s="14"/>
      <c r="AT81" s="14"/>
      <c r="AU81" s="11" t="s">
        <v>160</v>
      </c>
      <c r="AV81" s="11" t="s">
        <v>162</v>
      </c>
      <c r="AW81" s="11" t="s">
        <v>250</v>
      </c>
      <c r="AX81" s="11">
        <v>3.820378155E9</v>
      </c>
      <c r="AY81" s="11" t="s">
        <v>1247</v>
      </c>
      <c r="AZ81" s="11">
        <v>8.7748942848E10</v>
      </c>
      <c r="BA81" s="11" t="s">
        <v>1248</v>
      </c>
      <c r="BB81" s="11" t="s">
        <v>488</v>
      </c>
    </row>
    <row r="82">
      <c r="A82" s="10">
        <v>236709.0</v>
      </c>
      <c r="B82" s="11" t="s">
        <v>251</v>
      </c>
      <c r="C82" s="11">
        <v>8.952795059E10</v>
      </c>
      <c r="D82" s="11" t="s">
        <v>1249</v>
      </c>
      <c r="E82" s="11" t="s">
        <v>41</v>
      </c>
      <c r="F82" s="11" t="s">
        <v>122</v>
      </c>
      <c r="G82" s="11" t="s">
        <v>1250</v>
      </c>
      <c r="H82" s="13">
        <v>36045.0</v>
      </c>
      <c r="I82" s="10">
        <v>863.0</v>
      </c>
      <c r="J82" s="11" t="s">
        <v>128</v>
      </c>
      <c r="K82" s="11" t="s">
        <v>333</v>
      </c>
      <c r="L82" s="11" t="s">
        <v>207</v>
      </c>
      <c r="M82" s="10">
        <v>22.0</v>
      </c>
      <c r="N82" s="10">
        <v>892.0</v>
      </c>
      <c r="O82" s="10">
        <v>5059.0</v>
      </c>
      <c r="P82" s="11" t="s">
        <v>1251</v>
      </c>
      <c r="Q82" s="11" t="s">
        <v>136</v>
      </c>
      <c r="R82" s="13">
        <v>46153.0</v>
      </c>
      <c r="S82" s="11" t="s">
        <v>137</v>
      </c>
      <c r="T82" s="14"/>
      <c r="U82" s="13">
        <v>46265.0</v>
      </c>
      <c r="W82" s="14"/>
      <c r="X82" s="14"/>
      <c r="Y82" s="11" t="s">
        <v>861</v>
      </c>
      <c r="Z82" s="10">
        <v>22.0</v>
      </c>
      <c r="AA82" s="10">
        <v>892.0</v>
      </c>
      <c r="AB82" s="10">
        <v>5061.0</v>
      </c>
      <c r="AC82" s="14"/>
      <c r="AD82" s="11" t="s">
        <v>147</v>
      </c>
      <c r="AE82" s="11" t="s">
        <v>149</v>
      </c>
      <c r="AF82" s="14"/>
      <c r="AG82" s="13">
        <v>46153.0</v>
      </c>
      <c r="AH82" s="13">
        <v>46265.0</v>
      </c>
      <c r="AI82" s="14"/>
      <c r="AJ82" s="10">
        <v>11062.0</v>
      </c>
      <c r="AK82" s="14"/>
      <c r="AL82" s="14"/>
      <c r="AM82" s="14"/>
      <c r="AN82" s="14"/>
      <c r="AO82" s="11">
        <v>4.16129427704E14</v>
      </c>
      <c r="AP82" s="11" t="s">
        <v>136</v>
      </c>
      <c r="AQ82" s="11" t="s">
        <v>136</v>
      </c>
      <c r="AR82" s="14"/>
      <c r="AS82" s="14"/>
      <c r="AT82" s="14"/>
      <c r="AU82" s="11" t="s">
        <v>160</v>
      </c>
      <c r="AV82" s="11" t="s">
        <v>779</v>
      </c>
      <c r="AW82" s="11" t="s">
        <v>1252</v>
      </c>
      <c r="AX82" s="11">
        <v>3.10022305919E11</v>
      </c>
      <c r="AY82" s="11" t="s">
        <v>1253</v>
      </c>
      <c r="AZ82" s="11">
        <v>8.229993939E10</v>
      </c>
      <c r="BA82" s="11" t="s">
        <v>1254</v>
      </c>
      <c r="BB82" s="11" t="s">
        <v>526</v>
      </c>
    </row>
    <row r="83">
      <c r="A83" s="10">
        <v>242328.0</v>
      </c>
      <c r="B83" s="11" t="s">
        <v>252</v>
      </c>
      <c r="C83" s="11">
        <v>8.5624685906E10</v>
      </c>
      <c r="D83" s="11" t="s">
        <v>1255</v>
      </c>
      <c r="E83" s="11" t="s">
        <v>41</v>
      </c>
      <c r="F83" s="11" t="s">
        <v>122</v>
      </c>
      <c r="G83" s="11" t="s">
        <v>1256</v>
      </c>
      <c r="H83" s="13">
        <v>36594.0</v>
      </c>
      <c r="I83" s="10">
        <v>701.0</v>
      </c>
      <c r="J83" s="11" t="s">
        <v>128</v>
      </c>
      <c r="K83" s="11" t="s">
        <v>130</v>
      </c>
      <c r="L83" s="11" t="s">
        <v>131</v>
      </c>
      <c r="M83" s="14"/>
      <c r="N83" s="14"/>
      <c r="O83" s="14"/>
      <c r="P83" s="14"/>
      <c r="Q83" s="11" t="s">
        <v>136</v>
      </c>
      <c r="R83" s="13">
        <v>46161.0</v>
      </c>
      <c r="S83" s="11" t="s">
        <v>137</v>
      </c>
      <c r="T83" s="14"/>
      <c r="U83" s="13">
        <v>46265.0</v>
      </c>
      <c r="W83" s="14"/>
      <c r="X83" s="14"/>
      <c r="Y83" s="11" t="s">
        <v>861</v>
      </c>
      <c r="Z83" s="10">
        <v>12.0</v>
      </c>
      <c r="AA83" s="10">
        <v>718.0</v>
      </c>
      <c r="AB83" s="10">
        <v>2584.0</v>
      </c>
      <c r="AC83" s="14"/>
      <c r="AD83" s="11" t="s">
        <v>147</v>
      </c>
      <c r="AE83" s="11" t="s">
        <v>149</v>
      </c>
      <c r="AF83" s="14"/>
      <c r="AG83" s="13">
        <v>46161.0</v>
      </c>
      <c r="AH83" s="13">
        <v>46265.0</v>
      </c>
      <c r="AI83" s="14"/>
      <c r="AJ83" s="10">
        <v>13946.0</v>
      </c>
      <c r="AK83" s="14"/>
      <c r="AL83" s="14"/>
      <c r="AM83" s="14"/>
      <c r="AN83" s="14"/>
      <c r="AO83" s="11">
        <v>8.51714915444E14</v>
      </c>
      <c r="AP83" s="11" t="s">
        <v>136</v>
      </c>
      <c r="AQ83" s="11" t="s">
        <v>136</v>
      </c>
      <c r="AR83" s="14"/>
      <c r="AS83" s="14"/>
      <c r="AT83" s="14"/>
      <c r="AU83" s="11" t="s">
        <v>160</v>
      </c>
      <c r="AV83" s="11" t="s">
        <v>162</v>
      </c>
      <c r="AW83" s="11" t="s">
        <v>1257</v>
      </c>
      <c r="AX83" s="11">
        <v>2.831985111E9</v>
      </c>
      <c r="AY83" s="11" t="s">
        <v>1258</v>
      </c>
      <c r="AZ83" s="11">
        <v>8.1462211599E10</v>
      </c>
      <c r="BA83" s="11" t="s">
        <v>1259</v>
      </c>
      <c r="BB83" s="11" t="s">
        <v>170</v>
      </c>
    </row>
    <row r="84">
      <c r="A84" s="10">
        <v>242771.0</v>
      </c>
      <c r="B84" s="11" t="s">
        <v>255</v>
      </c>
      <c r="C84" s="11">
        <v>8.7760225284E10</v>
      </c>
      <c r="D84" s="11" t="s">
        <v>1260</v>
      </c>
      <c r="E84" s="11" t="s">
        <v>611</v>
      </c>
      <c r="F84" s="11" t="s">
        <v>122</v>
      </c>
      <c r="G84" s="11" t="s">
        <v>1261</v>
      </c>
      <c r="H84" s="13">
        <v>38171.0</v>
      </c>
      <c r="I84" s="10">
        <v>807.0</v>
      </c>
      <c r="J84" s="11" t="s">
        <v>128</v>
      </c>
      <c r="K84" s="14"/>
      <c r="L84" s="11" t="s">
        <v>207</v>
      </c>
      <c r="M84" s="10">
        <v>16.0</v>
      </c>
      <c r="N84" s="10">
        <v>807.0</v>
      </c>
      <c r="O84" s="10">
        <v>4077.0</v>
      </c>
      <c r="P84" s="11" t="s">
        <v>1262</v>
      </c>
      <c r="Q84" s="11" t="s">
        <v>136</v>
      </c>
      <c r="R84" s="13">
        <v>46164.0</v>
      </c>
      <c r="S84" s="11" t="s">
        <v>137</v>
      </c>
      <c r="T84" s="14"/>
      <c r="U84" s="13">
        <v>46265.0</v>
      </c>
      <c r="W84" s="14"/>
      <c r="X84" s="14"/>
      <c r="Y84" s="11" t="s">
        <v>861</v>
      </c>
      <c r="Z84" s="10">
        <v>11.0</v>
      </c>
      <c r="AA84" s="10">
        <v>696.0</v>
      </c>
      <c r="AB84" s="10">
        <v>1984.0</v>
      </c>
      <c r="AC84" s="14"/>
      <c r="AD84" s="11" t="s">
        <v>147</v>
      </c>
      <c r="AE84" s="11" t="s">
        <v>149</v>
      </c>
      <c r="AF84" s="14"/>
      <c r="AG84" s="13">
        <v>46164.0</v>
      </c>
      <c r="AH84" s="13">
        <v>46265.0</v>
      </c>
      <c r="AI84" s="14"/>
      <c r="AJ84" s="10">
        <v>13405.0</v>
      </c>
      <c r="AK84" s="14"/>
      <c r="AL84" s="14"/>
      <c r="AM84" s="14"/>
      <c r="AN84" s="11">
        <v>3.271481842E9</v>
      </c>
      <c r="AO84" s="14"/>
      <c r="AP84" s="11" t="s">
        <v>136</v>
      </c>
      <c r="AQ84" s="11" t="s">
        <v>136</v>
      </c>
      <c r="AR84" s="14"/>
      <c r="AS84" s="14"/>
      <c r="AT84" s="11" t="s">
        <v>219</v>
      </c>
      <c r="AU84" s="11" t="s">
        <v>160</v>
      </c>
      <c r="AV84" s="11" t="s">
        <v>162</v>
      </c>
      <c r="AW84" s="11" t="s">
        <v>255</v>
      </c>
      <c r="AX84" s="11">
        <v>5.940898368E9</v>
      </c>
      <c r="AY84" s="11" t="s">
        <v>1263</v>
      </c>
      <c r="AZ84" s="11">
        <v>8.159456767E9</v>
      </c>
      <c r="BA84" s="11" t="s">
        <v>1264</v>
      </c>
      <c r="BB84" s="11" t="s">
        <v>488</v>
      </c>
    </row>
    <row r="85">
      <c r="A85" s="10">
        <v>247414.0</v>
      </c>
      <c r="B85" s="11" t="s">
        <v>258</v>
      </c>
      <c r="C85" s="11">
        <v>8.2377054696E10</v>
      </c>
      <c r="D85" s="11" t="s">
        <v>1265</v>
      </c>
      <c r="E85" s="11" t="s">
        <v>41</v>
      </c>
      <c r="F85" s="11" t="s">
        <v>122</v>
      </c>
      <c r="G85" s="11" t="s">
        <v>1266</v>
      </c>
      <c r="H85" s="13">
        <v>35211.0</v>
      </c>
      <c r="I85" s="10">
        <v>676.0</v>
      </c>
      <c r="J85" s="11" t="s">
        <v>128</v>
      </c>
      <c r="K85" s="11" t="s">
        <v>333</v>
      </c>
      <c r="L85" s="11" t="s">
        <v>131</v>
      </c>
      <c r="M85" s="10">
        <v>8.0</v>
      </c>
      <c r="N85" s="10">
        <v>677.0</v>
      </c>
      <c r="O85" s="10">
        <v>1836.0</v>
      </c>
      <c r="P85" s="11" t="s">
        <v>1267</v>
      </c>
      <c r="Q85" s="11" t="s">
        <v>136</v>
      </c>
      <c r="R85" s="13">
        <v>46174.0</v>
      </c>
      <c r="S85" s="11" t="s">
        <v>137</v>
      </c>
      <c r="T85" s="14"/>
      <c r="U85" s="13">
        <v>46265.0</v>
      </c>
      <c r="W85" s="11" t="s">
        <v>143</v>
      </c>
      <c r="X85" s="14"/>
      <c r="Y85" s="11" t="s">
        <v>861</v>
      </c>
      <c r="Z85" s="10">
        <v>8.0</v>
      </c>
      <c r="AA85" s="10">
        <v>677.0</v>
      </c>
      <c r="AB85" s="14"/>
      <c r="AC85" s="14"/>
      <c r="AD85" s="11" t="s">
        <v>147</v>
      </c>
      <c r="AE85" s="11" t="s">
        <v>149</v>
      </c>
      <c r="AF85" s="14"/>
      <c r="AG85" s="13">
        <v>46174.0</v>
      </c>
      <c r="AH85" s="13">
        <v>46265.0</v>
      </c>
      <c r="AI85" s="14"/>
      <c r="AJ85" s="10">
        <v>11219.0</v>
      </c>
      <c r="AK85" s="14"/>
      <c r="AL85" s="14"/>
      <c r="AM85" s="14"/>
      <c r="AN85" s="14"/>
      <c r="AO85" s="14"/>
      <c r="AP85" s="11" t="s">
        <v>136</v>
      </c>
      <c r="AQ85" s="11" t="s">
        <v>136</v>
      </c>
      <c r="AR85" s="14"/>
      <c r="AS85" s="14"/>
      <c r="AT85" s="14"/>
      <c r="AU85" s="11" t="s">
        <v>160</v>
      </c>
      <c r="AV85" s="11" t="s">
        <v>162</v>
      </c>
      <c r="AW85" s="11" t="s">
        <v>1268</v>
      </c>
      <c r="AX85" s="11">
        <v>2.31574629E8</v>
      </c>
      <c r="AY85" s="14"/>
      <c r="AZ85" s="14"/>
      <c r="BA85" s="14"/>
      <c r="BB85" s="14"/>
    </row>
    <row r="86">
      <c r="A86" s="10">
        <v>247429.0</v>
      </c>
      <c r="B86" s="11" t="s">
        <v>261</v>
      </c>
      <c r="C86" s="11">
        <v>8.5190611181E10</v>
      </c>
      <c r="D86" s="11" t="s">
        <v>1269</v>
      </c>
      <c r="E86" s="11" t="s">
        <v>704</v>
      </c>
      <c r="F86" s="11" t="s">
        <v>265</v>
      </c>
      <c r="G86" s="11" t="s">
        <v>1270</v>
      </c>
      <c r="H86" s="13">
        <v>36422.0</v>
      </c>
      <c r="I86" s="10">
        <v>611.0</v>
      </c>
      <c r="J86" s="11" t="s">
        <v>419</v>
      </c>
      <c r="K86" s="11" t="s">
        <v>130</v>
      </c>
      <c r="L86" s="11" t="s">
        <v>207</v>
      </c>
      <c r="M86" s="10">
        <v>2.0</v>
      </c>
      <c r="N86" s="10">
        <v>572.0</v>
      </c>
      <c r="O86" s="10">
        <v>404.0</v>
      </c>
      <c r="P86" s="11" t="s">
        <v>1271</v>
      </c>
      <c r="Q86" s="11" t="s">
        <v>136</v>
      </c>
      <c r="R86" s="13">
        <v>46174.0</v>
      </c>
      <c r="S86" s="11" t="s">
        <v>137</v>
      </c>
      <c r="T86" s="14"/>
      <c r="U86" s="13">
        <v>46265.0</v>
      </c>
      <c r="W86" s="11" t="s">
        <v>143</v>
      </c>
      <c r="X86" s="14"/>
      <c r="Y86" s="11" t="s">
        <v>861</v>
      </c>
      <c r="Z86" s="10">
        <v>2.0</v>
      </c>
      <c r="AA86" s="10">
        <v>590.0</v>
      </c>
      <c r="AB86" s="10">
        <v>687.0</v>
      </c>
      <c r="AC86" s="14"/>
      <c r="AD86" s="11" t="s">
        <v>147</v>
      </c>
      <c r="AE86" s="11" t="s">
        <v>149</v>
      </c>
      <c r="AF86" s="14"/>
      <c r="AG86" s="13">
        <v>46174.0</v>
      </c>
      <c r="AH86" s="13">
        <v>46265.0</v>
      </c>
      <c r="AI86" s="14"/>
      <c r="AJ86" s="10">
        <v>11038.0</v>
      </c>
      <c r="AK86" s="14"/>
      <c r="AL86" s="14"/>
      <c r="AM86" s="11">
        <v>2.5127664321E10</v>
      </c>
      <c r="AN86" s="11">
        <v>1.107737267E9</v>
      </c>
      <c r="AO86" s="11" t="s">
        <v>1270</v>
      </c>
      <c r="AP86" s="11" t="s">
        <v>136</v>
      </c>
      <c r="AQ86" s="11" t="s">
        <v>136</v>
      </c>
      <c r="AR86" s="14"/>
      <c r="AS86" s="14"/>
      <c r="AT86" s="11" t="s">
        <v>219</v>
      </c>
      <c r="AU86" s="11" t="s">
        <v>160</v>
      </c>
      <c r="AV86" s="11" t="s">
        <v>162</v>
      </c>
      <c r="AW86" s="11" t="s">
        <v>261</v>
      </c>
      <c r="AX86" s="11">
        <v>2.421392678E9</v>
      </c>
      <c r="AY86" s="11" t="s">
        <v>1273</v>
      </c>
      <c r="AZ86" s="11">
        <v>8.1361339292E10</v>
      </c>
      <c r="BA86" s="11" t="s">
        <v>1271</v>
      </c>
      <c r="BB86" s="11" t="s">
        <v>488</v>
      </c>
    </row>
    <row r="87">
      <c r="A87" s="10">
        <v>247512.0</v>
      </c>
      <c r="B87" s="11" t="s">
        <v>263</v>
      </c>
      <c r="C87" s="11">
        <v>8.9532059674E11</v>
      </c>
      <c r="D87" s="11" t="s">
        <v>1274</v>
      </c>
      <c r="E87" s="11" t="s">
        <v>41</v>
      </c>
      <c r="F87" s="11" t="s">
        <v>122</v>
      </c>
      <c r="G87" s="11" t="s">
        <v>1275</v>
      </c>
      <c r="H87" s="13">
        <v>36918.0</v>
      </c>
      <c r="I87" s="10">
        <v>773.0</v>
      </c>
      <c r="J87" s="11" t="s">
        <v>128</v>
      </c>
      <c r="K87" s="11" t="s">
        <v>130</v>
      </c>
      <c r="L87" s="11" t="s">
        <v>207</v>
      </c>
      <c r="M87" s="10">
        <v>15.0</v>
      </c>
      <c r="N87" s="10">
        <v>773.0</v>
      </c>
      <c r="O87" s="10">
        <v>3468.0</v>
      </c>
      <c r="P87" s="11" t="s">
        <v>1277</v>
      </c>
      <c r="Q87" s="11" t="s">
        <v>136</v>
      </c>
      <c r="R87" s="13">
        <v>46177.0</v>
      </c>
      <c r="S87" s="11" t="s">
        <v>137</v>
      </c>
      <c r="T87" s="14"/>
      <c r="U87" s="13">
        <v>46265.0</v>
      </c>
      <c r="W87" s="14"/>
      <c r="X87" s="14"/>
      <c r="Y87" s="11" t="s">
        <v>861</v>
      </c>
      <c r="Z87" s="10">
        <v>15.0</v>
      </c>
      <c r="AA87" s="10">
        <v>773.0</v>
      </c>
      <c r="AB87" s="10">
        <v>3468.0</v>
      </c>
      <c r="AC87" s="14"/>
      <c r="AD87" s="11" t="s">
        <v>147</v>
      </c>
      <c r="AE87" s="11" t="s">
        <v>149</v>
      </c>
      <c r="AF87" s="14"/>
      <c r="AG87" s="13">
        <v>46177.0</v>
      </c>
      <c r="AH87" s="13">
        <v>46265.0</v>
      </c>
      <c r="AI87" s="14"/>
      <c r="AJ87" s="10">
        <v>14026.0</v>
      </c>
      <c r="AK87" s="14"/>
      <c r="AL87" s="14"/>
      <c r="AM87" s="14"/>
      <c r="AN87" s="14"/>
      <c r="AO87" s="14"/>
      <c r="AP87" s="11" t="s">
        <v>136</v>
      </c>
      <c r="AQ87" s="11" t="s">
        <v>136</v>
      </c>
      <c r="AR87" s="14"/>
      <c r="AS87" s="14"/>
      <c r="AT87" s="14"/>
      <c r="AU87" s="11" t="s">
        <v>160</v>
      </c>
      <c r="AV87" s="11" t="s">
        <v>162</v>
      </c>
      <c r="AW87" s="11" t="s">
        <v>1280</v>
      </c>
      <c r="AX87" s="11">
        <v>3.330641044E9</v>
      </c>
      <c r="AY87" s="11" t="s">
        <v>1281</v>
      </c>
      <c r="AZ87" s="11">
        <v>8.1333786574E10</v>
      </c>
      <c r="BA87" s="11" t="s">
        <v>1283</v>
      </c>
      <c r="BB87" s="11" t="s">
        <v>198</v>
      </c>
    </row>
    <row r="88">
      <c r="A88" s="10">
        <v>251960.0</v>
      </c>
      <c r="B88" s="11" t="s">
        <v>267</v>
      </c>
      <c r="C88" s="11">
        <v>8.5151005619E10</v>
      </c>
      <c r="D88" s="11" t="s">
        <v>1284</v>
      </c>
      <c r="E88" s="11" t="s">
        <v>704</v>
      </c>
      <c r="F88" s="11" t="s">
        <v>265</v>
      </c>
      <c r="G88" s="11" t="s">
        <v>1285</v>
      </c>
      <c r="H88" s="13">
        <v>34283.0</v>
      </c>
      <c r="I88" s="10">
        <v>957.0</v>
      </c>
      <c r="J88" s="11" t="s">
        <v>128</v>
      </c>
      <c r="K88" s="11" t="s">
        <v>706</v>
      </c>
      <c r="L88" s="11" t="s">
        <v>207</v>
      </c>
      <c r="M88" s="10">
        <v>27.0</v>
      </c>
      <c r="N88" s="10">
        <v>957.0</v>
      </c>
      <c r="O88" s="10">
        <v>5863.0</v>
      </c>
      <c r="P88" s="11" t="s">
        <v>1287</v>
      </c>
      <c r="Q88" s="11" t="s">
        <v>136</v>
      </c>
      <c r="R88" s="13">
        <v>46175.0</v>
      </c>
      <c r="S88" s="11" t="s">
        <v>137</v>
      </c>
      <c r="T88" s="14"/>
      <c r="U88" s="13">
        <v>46265.0</v>
      </c>
      <c r="W88" s="11" t="s">
        <v>143</v>
      </c>
      <c r="X88" s="14"/>
      <c r="Y88" s="14"/>
      <c r="Z88" s="10">
        <v>27.0</v>
      </c>
      <c r="AA88" s="10">
        <v>957.0</v>
      </c>
      <c r="AB88" s="14"/>
      <c r="AC88" s="14"/>
      <c r="AD88" s="11" t="s">
        <v>147</v>
      </c>
      <c r="AE88" s="11" t="s">
        <v>149</v>
      </c>
      <c r="AF88" s="14"/>
      <c r="AG88" s="13">
        <v>46175.0</v>
      </c>
      <c r="AH88" s="13">
        <v>46265.0</v>
      </c>
      <c r="AI88" s="14"/>
      <c r="AJ88" s="10">
        <v>11188.0</v>
      </c>
      <c r="AK88" s="14"/>
      <c r="AL88" s="14"/>
      <c r="AM88" s="14"/>
      <c r="AN88" s="14"/>
      <c r="AO88" s="14"/>
      <c r="AP88" s="11" t="s">
        <v>136</v>
      </c>
      <c r="AQ88" s="11" t="s">
        <v>136</v>
      </c>
      <c r="AR88" s="14"/>
      <c r="AS88" s="14"/>
      <c r="AT88" s="14"/>
      <c r="AU88" s="11" t="s">
        <v>160</v>
      </c>
      <c r="AV88" s="11" t="s">
        <v>162</v>
      </c>
      <c r="AW88" s="11" t="s">
        <v>267</v>
      </c>
      <c r="AX88" s="11">
        <v>2.51548799E8</v>
      </c>
      <c r="AY88" s="14"/>
      <c r="AZ88" s="14"/>
      <c r="BA88" s="14"/>
      <c r="BB88" s="14"/>
    </row>
    <row r="89">
      <c r="A89" s="10">
        <v>253928.0</v>
      </c>
      <c r="B89" s="11" t="s">
        <v>268</v>
      </c>
      <c r="C89" s="11">
        <v>8.9677241516E10</v>
      </c>
      <c r="D89" s="11" t="s">
        <v>1290</v>
      </c>
      <c r="E89" s="11" t="s">
        <v>41</v>
      </c>
      <c r="F89" s="11" t="s">
        <v>265</v>
      </c>
      <c r="G89" s="11" t="s">
        <v>1291</v>
      </c>
      <c r="H89" s="13">
        <v>39019.0</v>
      </c>
      <c r="I89" s="10">
        <v>742.0</v>
      </c>
      <c r="J89" s="11" t="s">
        <v>128</v>
      </c>
      <c r="K89" s="11" t="s">
        <v>706</v>
      </c>
      <c r="L89" s="11" t="s">
        <v>207</v>
      </c>
      <c r="M89" s="10">
        <v>13.0</v>
      </c>
      <c r="N89" s="10">
        <v>742.0</v>
      </c>
      <c r="O89" s="10">
        <v>2986.0</v>
      </c>
      <c r="P89" s="11" t="s">
        <v>1293</v>
      </c>
      <c r="Q89" s="11" t="s">
        <v>136</v>
      </c>
      <c r="R89" s="13">
        <v>46195.0</v>
      </c>
      <c r="S89" s="11" t="s">
        <v>137</v>
      </c>
      <c r="T89" s="14"/>
      <c r="U89" s="13">
        <v>46265.0</v>
      </c>
      <c r="W89" s="11" t="s">
        <v>143</v>
      </c>
      <c r="X89" s="14"/>
      <c r="Y89" s="11" t="s">
        <v>861</v>
      </c>
      <c r="Z89" s="10">
        <v>13.0</v>
      </c>
      <c r="AA89" s="10">
        <v>742.0</v>
      </c>
      <c r="AB89" s="10">
        <v>2981.0</v>
      </c>
      <c r="AC89" s="14"/>
      <c r="AD89" s="11" t="s">
        <v>147</v>
      </c>
      <c r="AE89" s="11" t="s">
        <v>149</v>
      </c>
      <c r="AF89" s="14"/>
      <c r="AG89" s="13">
        <v>46195.0</v>
      </c>
      <c r="AH89" s="13">
        <v>46265.0</v>
      </c>
      <c r="AI89" s="14"/>
      <c r="AJ89" s="10">
        <v>12550.0</v>
      </c>
      <c r="AK89" s="14"/>
      <c r="AL89" s="14"/>
      <c r="AM89" s="14"/>
      <c r="AN89" s="14"/>
      <c r="AO89" s="14"/>
      <c r="AP89" s="11" t="s">
        <v>136</v>
      </c>
      <c r="AQ89" s="11" t="s">
        <v>136</v>
      </c>
      <c r="AR89" s="14"/>
      <c r="AS89" s="14"/>
      <c r="AT89" s="14"/>
      <c r="AU89" s="11" t="s">
        <v>160</v>
      </c>
      <c r="AV89" s="11" t="s">
        <v>162</v>
      </c>
      <c r="AW89" s="11" t="s">
        <v>1296</v>
      </c>
      <c r="AX89" s="11">
        <v>9.80987531E8</v>
      </c>
      <c r="AY89" s="11" t="s">
        <v>1297</v>
      </c>
      <c r="AZ89" s="11">
        <v>8.314489392E10</v>
      </c>
      <c r="BA89" s="11" t="s">
        <v>1298</v>
      </c>
      <c r="BB89" s="11" t="s">
        <v>526</v>
      </c>
    </row>
    <row r="90">
      <c r="A90" s="10">
        <v>254768.0</v>
      </c>
      <c r="B90" s="11" t="s">
        <v>270</v>
      </c>
      <c r="C90" s="11">
        <v>8.7890300301E10</v>
      </c>
      <c r="D90" s="11" t="s">
        <v>1300</v>
      </c>
      <c r="E90" s="11" t="s">
        <v>41</v>
      </c>
      <c r="F90" s="11" t="s">
        <v>265</v>
      </c>
      <c r="G90" s="11" t="s">
        <v>1301</v>
      </c>
      <c r="H90" s="13">
        <v>37599.0</v>
      </c>
      <c r="I90" s="10">
        <v>945.0</v>
      </c>
      <c r="J90" s="11" t="s">
        <v>128</v>
      </c>
      <c r="K90" s="11" t="s">
        <v>706</v>
      </c>
      <c r="L90" s="11" t="s">
        <v>207</v>
      </c>
      <c r="M90" s="10">
        <v>27.0</v>
      </c>
      <c r="N90" s="10">
        <v>957.0</v>
      </c>
      <c r="O90" s="10">
        <v>5861.0</v>
      </c>
      <c r="P90" s="11" t="s">
        <v>1303</v>
      </c>
      <c r="Q90" s="11" t="s">
        <v>136</v>
      </c>
      <c r="R90" s="13">
        <v>46198.0</v>
      </c>
      <c r="S90" s="11" t="s">
        <v>137</v>
      </c>
      <c r="T90" s="14"/>
      <c r="U90" s="13">
        <v>46265.0</v>
      </c>
      <c r="W90" s="14"/>
      <c r="X90" s="14"/>
      <c r="Y90" s="11" t="s">
        <v>861</v>
      </c>
      <c r="Z90" s="10">
        <v>27.0</v>
      </c>
      <c r="AA90" s="10">
        <v>957.0</v>
      </c>
      <c r="AB90" s="14"/>
      <c r="AC90" s="14"/>
      <c r="AD90" s="11" t="s">
        <v>147</v>
      </c>
      <c r="AE90" s="11" t="s">
        <v>149</v>
      </c>
      <c r="AF90" s="14"/>
      <c r="AG90" s="13">
        <v>46198.0</v>
      </c>
      <c r="AH90" s="13">
        <v>46265.0</v>
      </c>
      <c r="AI90" s="14"/>
      <c r="AJ90" s="10">
        <v>11092.0</v>
      </c>
      <c r="AK90" s="14"/>
      <c r="AL90" s="14"/>
      <c r="AM90" s="14"/>
      <c r="AN90" s="14"/>
      <c r="AO90" s="14"/>
      <c r="AP90" s="11" t="s">
        <v>136</v>
      </c>
      <c r="AQ90" s="11" t="s">
        <v>136</v>
      </c>
      <c r="AR90" s="14"/>
      <c r="AS90" s="14"/>
      <c r="AT90" s="14"/>
      <c r="AU90" s="11" t="s">
        <v>160</v>
      </c>
      <c r="AV90" s="11" t="s">
        <v>162</v>
      </c>
      <c r="AW90" s="11" t="s">
        <v>270</v>
      </c>
      <c r="AX90" s="11">
        <v>8.26042526E9</v>
      </c>
      <c r="AY90" s="11" t="s">
        <v>1305</v>
      </c>
      <c r="AZ90" s="11">
        <v>8.979632074E9</v>
      </c>
      <c r="BA90" s="11" t="s">
        <v>1306</v>
      </c>
      <c r="BB90" s="11" t="s">
        <v>526</v>
      </c>
    </row>
    <row r="91">
      <c r="A91" s="10">
        <v>255195.0</v>
      </c>
      <c r="B91" s="11" t="s">
        <v>272</v>
      </c>
      <c r="C91" s="11">
        <v>8.7773201795E10</v>
      </c>
      <c r="D91" s="11" t="s">
        <v>1307</v>
      </c>
      <c r="E91" s="11" t="s">
        <v>41</v>
      </c>
      <c r="F91" s="11" t="s">
        <v>265</v>
      </c>
      <c r="G91" s="11" t="s">
        <v>1308</v>
      </c>
      <c r="H91" s="13">
        <v>37670.0</v>
      </c>
      <c r="I91" s="10">
        <v>900.0</v>
      </c>
      <c r="J91" s="11" t="s">
        <v>128</v>
      </c>
      <c r="K91" s="11" t="s">
        <v>333</v>
      </c>
      <c r="L91" s="11" t="s">
        <v>207</v>
      </c>
      <c r="M91" s="10">
        <v>23.0</v>
      </c>
      <c r="N91" s="10">
        <v>900.0</v>
      </c>
      <c r="O91" s="10">
        <v>5153.0</v>
      </c>
      <c r="P91" s="11" t="s">
        <v>1309</v>
      </c>
      <c r="Q91" s="11" t="s">
        <v>136</v>
      </c>
      <c r="R91" s="13">
        <v>46202.0</v>
      </c>
      <c r="S91" s="11" t="s">
        <v>137</v>
      </c>
      <c r="T91" s="14"/>
      <c r="U91" s="13">
        <v>46265.0</v>
      </c>
      <c r="W91" s="11" t="s">
        <v>143</v>
      </c>
      <c r="X91" s="14"/>
      <c r="Y91" s="11" t="s">
        <v>861</v>
      </c>
      <c r="Z91" s="10">
        <v>23.0</v>
      </c>
      <c r="AA91" s="10">
        <v>900.0</v>
      </c>
      <c r="AB91" s="10">
        <v>5152.0</v>
      </c>
      <c r="AC91" s="14"/>
      <c r="AD91" s="11" t="s">
        <v>147</v>
      </c>
      <c r="AE91" s="11" t="s">
        <v>149</v>
      </c>
      <c r="AF91" s="14"/>
      <c r="AG91" s="13">
        <v>46202.0</v>
      </c>
      <c r="AH91" s="13">
        <v>46265.0</v>
      </c>
      <c r="AI91" s="14"/>
      <c r="AJ91" s="10">
        <v>14125.0</v>
      </c>
      <c r="AK91" s="14"/>
      <c r="AL91" s="14"/>
      <c r="AM91" s="11">
        <v>2.4027008804E10</v>
      </c>
      <c r="AN91" s="11">
        <v>1.174249574E9</v>
      </c>
      <c r="AO91" s="11" t="s">
        <v>1308</v>
      </c>
      <c r="AP91" s="11" t="s">
        <v>136</v>
      </c>
      <c r="AQ91" s="11" t="s">
        <v>136</v>
      </c>
      <c r="AR91" s="14"/>
      <c r="AS91" s="14"/>
      <c r="AT91" s="11" t="s">
        <v>219</v>
      </c>
      <c r="AU91" s="11" t="s">
        <v>160</v>
      </c>
      <c r="AV91" s="11" t="s">
        <v>779</v>
      </c>
      <c r="AW91" s="11" t="s">
        <v>1311</v>
      </c>
      <c r="AX91" s="11">
        <v>1.490014116893E12</v>
      </c>
      <c r="AY91" s="11" t="s">
        <v>1312</v>
      </c>
      <c r="AZ91" s="11">
        <v>8.5952824512E10</v>
      </c>
      <c r="BA91" s="11" t="s">
        <v>1313</v>
      </c>
      <c r="BB91" s="11" t="s">
        <v>198</v>
      </c>
    </row>
    <row r="92">
      <c r="A92" s="10">
        <v>263097.0</v>
      </c>
      <c r="B92" s="11" t="s">
        <v>273</v>
      </c>
      <c r="C92" s="11">
        <v>8.3122638E10</v>
      </c>
      <c r="D92" s="11" t="s">
        <v>1314</v>
      </c>
      <c r="E92" s="11" t="s">
        <v>41</v>
      </c>
      <c r="F92" s="11" t="s">
        <v>265</v>
      </c>
      <c r="G92" s="11" t="s">
        <v>1315</v>
      </c>
      <c r="H92" s="13">
        <v>33849.0</v>
      </c>
      <c r="I92" s="14"/>
      <c r="J92" s="11" t="s">
        <v>128</v>
      </c>
      <c r="K92" s="14"/>
      <c r="L92" s="11" t="s">
        <v>131</v>
      </c>
      <c r="M92" s="10">
        <v>14.0</v>
      </c>
      <c r="N92" s="10">
        <v>762.0</v>
      </c>
      <c r="O92" s="10">
        <v>3246.0</v>
      </c>
      <c r="P92" s="11" t="s">
        <v>1316</v>
      </c>
      <c r="Q92" s="11" t="s">
        <v>136</v>
      </c>
      <c r="R92" s="13">
        <v>46224.0</v>
      </c>
      <c r="S92" s="11" t="s">
        <v>137</v>
      </c>
      <c r="T92" s="14"/>
      <c r="U92" s="13">
        <v>46265.0</v>
      </c>
      <c r="W92" s="11" t="s">
        <v>143</v>
      </c>
      <c r="X92" s="14"/>
      <c r="Y92" s="11" t="s">
        <v>861</v>
      </c>
      <c r="Z92" s="10">
        <v>13.0</v>
      </c>
      <c r="AA92" s="10">
        <v>757.0</v>
      </c>
      <c r="AB92" s="14"/>
      <c r="AC92" s="14"/>
      <c r="AD92" s="11" t="s">
        <v>147</v>
      </c>
      <c r="AE92" s="11" t="s">
        <v>149</v>
      </c>
      <c r="AF92" s="14"/>
      <c r="AG92" s="13">
        <v>46224.0</v>
      </c>
      <c r="AH92" s="13">
        <v>46265.0</v>
      </c>
      <c r="AI92" s="14"/>
      <c r="AJ92" s="10">
        <v>11283.0</v>
      </c>
      <c r="AK92" s="14"/>
      <c r="AL92" s="14"/>
      <c r="AM92" s="14"/>
      <c r="AN92" s="14"/>
      <c r="AO92" s="14"/>
      <c r="AP92" s="11" t="s">
        <v>136</v>
      </c>
      <c r="AQ92" s="11" t="s">
        <v>136</v>
      </c>
      <c r="AR92" s="14"/>
      <c r="AS92" s="14"/>
      <c r="AT92" s="14"/>
      <c r="AU92" s="11" t="s">
        <v>160</v>
      </c>
      <c r="AV92" s="11" t="s">
        <v>162</v>
      </c>
      <c r="AW92" s="11" t="s">
        <v>273</v>
      </c>
      <c r="AX92" s="11">
        <v>3.7517091E8</v>
      </c>
      <c r="AY92" s="14"/>
      <c r="AZ92" s="14"/>
      <c r="BA92" s="14"/>
      <c r="BB92" s="14"/>
    </row>
    <row r="93">
      <c r="A93" s="10">
        <v>264602.0</v>
      </c>
      <c r="B93" s="11" t="s">
        <v>274</v>
      </c>
      <c r="C93" s="11">
        <v>8.9514649794E10</v>
      </c>
      <c r="D93" s="11" t="s">
        <v>1317</v>
      </c>
      <c r="E93" s="11" t="s">
        <v>1318</v>
      </c>
      <c r="F93" s="11" t="s">
        <v>122</v>
      </c>
      <c r="G93" s="11" t="s">
        <v>1319</v>
      </c>
      <c r="H93" s="13">
        <v>38044.0</v>
      </c>
      <c r="I93" s="10">
        <v>779.0</v>
      </c>
      <c r="J93" s="11" t="s">
        <v>128</v>
      </c>
      <c r="K93" s="11" t="s">
        <v>130</v>
      </c>
      <c r="L93" s="11" t="s">
        <v>207</v>
      </c>
      <c r="M93" s="10">
        <v>15.0</v>
      </c>
      <c r="N93" s="10">
        <v>801.0</v>
      </c>
      <c r="O93" s="10">
        <v>3923.0</v>
      </c>
      <c r="P93" s="11" t="s">
        <v>1320</v>
      </c>
      <c r="Q93" s="11" t="s">
        <v>136</v>
      </c>
      <c r="R93" s="13">
        <v>46239.0</v>
      </c>
      <c r="S93" s="11" t="s">
        <v>137</v>
      </c>
      <c r="T93" s="14"/>
      <c r="U93" s="13">
        <v>46265.0</v>
      </c>
      <c r="W93" s="11" t="s">
        <v>143</v>
      </c>
      <c r="X93" s="14"/>
      <c r="Y93" s="11" t="s">
        <v>861</v>
      </c>
      <c r="Z93" s="10">
        <v>15.0</v>
      </c>
      <c r="AA93" s="10">
        <v>801.0</v>
      </c>
      <c r="AB93" s="10">
        <v>3940.0</v>
      </c>
      <c r="AC93" s="14"/>
      <c r="AD93" s="11" t="s">
        <v>147</v>
      </c>
      <c r="AE93" s="11" t="s">
        <v>149</v>
      </c>
      <c r="AF93" s="14"/>
      <c r="AG93" s="13">
        <v>46239.0</v>
      </c>
      <c r="AH93" s="13">
        <v>46265.0</v>
      </c>
      <c r="AI93" s="14"/>
      <c r="AJ93" s="10">
        <v>14308.0</v>
      </c>
      <c r="AK93" s="14"/>
      <c r="AL93" s="14"/>
      <c r="AM93" s="14"/>
      <c r="AN93" s="14"/>
      <c r="AO93" s="14"/>
      <c r="AP93" s="11" t="s">
        <v>136</v>
      </c>
      <c r="AQ93" s="11" t="s">
        <v>136</v>
      </c>
      <c r="AR93" s="14"/>
      <c r="AS93" s="14"/>
      <c r="AT93" s="14"/>
      <c r="AU93" s="11" t="s">
        <v>160</v>
      </c>
      <c r="AV93" s="11" t="s">
        <v>162</v>
      </c>
      <c r="AW93" s="11" t="s">
        <v>274</v>
      </c>
      <c r="AX93" s="11">
        <v>5.065480881E9</v>
      </c>
      <c r="AY93" s="14"/>
      <c r="AZ93" s="14"/>
      <c r="BA93" s="14"/>
      <c r="BB93" s="14"/>
    </row>
    <row r="94">
      <c r="A94" s="10">
        <v>265197.0</v>
      </c>
      <c r="B94" s="11" t="s">
        <v>275</v>
      </c>
      <c r="C94" s="11">
        <v>8.5604913433E10</v>
      </c>
      <c r="D94" s="11" t="s">
        <v>1322</v>
      </c>
      <c r="E94" s="11" t="s">
        <v>41</v>
      </c>
      <c r="F94" s="11" t="s">
        <v>122</v>
      </c>
      <c r="G94" s="11" t="s">
        <v>1323</v>
      </c>
      <c r="H94" s="13">
        <v>37614.0</v>
      </c>
      <c r="I94" s="10">
        <v>801.0</v>
      </c>
      <c r="J94" s="11" t="s">
        <v>128</v>
      </c>
      <c r="K94" s="11" t="s">
        <v>706</v>
      </c>
      <c r="L94" s="11" t="s">
        <v>207</v>
      </c>
      <c r="M94" s="10">
        <v>15.0</v>
      </c>
      <c r="N94" s="10">
        <v>796.0</v>
      </c>
      <c r="O94" s="10">
        <v>3900.0</v>
      </c>
      <c r="P94" s="14"/>
      <c r="Q94" s="11" t="s">
        <v>136</v>
      </c>
      <c r="R94" s="13">
        <v>46240.0</v>
      </c>
      <c r="S94" s="11" t="s">
        <v>137</v>
      </c>
      <c r="T94" s="14"/>
      <c r="U94" s="13">
        <v>46265.0</v>
      </c>
      <c r="W94" s="11" t="s">
        <v>143</v>
      </c>
      <c r="X94" s="14"/>
      <c r="Y94" s="11" t="s">
        <v>861</v>
      </c>
      <c r="Z94" s="10">
        <v>15.0</v>
      </c>
      <c r="AA94" s="10">
        <v>796.0</v>
      </c>
      <c r="AB94" s="10">
        <v>3900.0</v>
      </c>
      <c r="AC94" s="14"/>
      <c r="AD94" s="11" t="s">
        <v>147</v>
      </c>
      <c r="AE94" s="11" t="s">
        <v>149</v>
      </c>
      <c r="AF94" s="14"/>
      <c r="AG94" s="13">
        <v>46240.0</v>
      </c>
      <c r="AH94" s="13">
        <v>46265.0</v>
      </c>
      <c r="AI94" s="14"/>
      <c r="AJ94" s="10">
        <v>11151.0</v>
      </c>
      <c r="AK94" s="14"/>
      <c r="AL94" s="14"/>
      <c r="AM94" s="14"/>
      <c r="AN94" s="11">
        <v>2.162236026E9</v>
      </c>
      <c r="AO94" s="14"/>
      <c r="AP94" s="11" t="s">
        <v>136</v>
      </c>
      <c r="AQ94" s="11" t="s">
        <v>136</v>
      </c>
      <c r="AR94" s="14"/>
      <c r="AS94" s="14"/>
      <c r="AT94" s="11" t="s">
        <v>158</v>
      </c>
      <c r="AU94" s="11" t="s">
        <v>160</v>
      </c>
      <c r="AV94" s="11" t="s">
        <v>779</v>
      </c>
      <c r="AW94" s="11" t="s">
        <v>1325</v>
      </c>
      <c r="AX94" s="11">
        <v>1.420024289133E12</v>
      </c>
      <c r="AY94" s="11" t="s">
        <v>1326</v>
      </c>
      <c r="AZ94" s="11">
        <v>8.9687196782E10</v>
      </c>
      <c r="BA94" s="11" t="s">
        <v>1327</v>
      </c>
      <c r="BB94" s="11" t="s">
        <v>526</v>
      </c>
    </row>
    <row r="95">
      <c r="A95" s="10">
        <v>265300.0</v>
      </c>
      <c r="B95" s="11" t="s">
        <v>277</v>
      </c>
      <c r="C95" s="11">
        <v>8.2218621312E10</v>
      </c>
      <c r="D95" s="11" t="s">
        <v>1329</v>
      </c>
      <c r="E95" s="11" t="s">
        <v>1318</v>
      </c>
      <c r="F95" s="11" t="s">
        <v>122</v>
      </c>
      <c r="G95" s="11" t="s">
        <v>1330</v>
      </c>
      <c r="H95" s="13">
        <v>35874.0</v>
      </c>
      <c r="I95" s="10">
        <v>708.0</v>
      </c>
      <c r="J95" s="11" t="s">
        <v>128</v>
      </c>
      <c r="K95" s="11" t="s">
        <v>292</v>
      </c>
      <c r="L95" s="11" t="s">
        <v>207</v>
      </c>
      <c r="M95" s="10">
        <v>12.0</v>
      </c>
      <c r="N95" s="10">
        <v>718.0</v>
      </c>
      <c r="O95" s="10">
        <v>2570.0</v>
      </c>
      <c r="P95" s="11" t="s">
        <v>1332</v>
      </c>
      <c r="Q95" s="11" t="s">
        <v>136</v>
      </c>
      <c r="R95" s="13">
        <v>46239.0</v>
      </c>
      <c r="S95" s="11" t="s">
        <v>137</v>
      </c>
      <c r="T95" s="14"/>
      <c r="U95" s="13">
        <v>46265.0</v>
      </c>
      <c r="W95" s="14"/>
      <c r="X95" s="14"/>
      <c r="Y95" s="11" t="s">
        <v>861</v>
      </c>
      <c r="Z95" s="10">
        <v>12.0</v>
      </c>
      <c r="AA95" s="10">
        <v>718.0</v>
      </c>
      <c r="AB95" s="10">
        <v>2567.0</v>
      </c>
      <c r="AC95" s="14"/>
      <c r="AD95" s="11" t="s">
        <v>147</v>
      </c>
      <c r="AE95" s="11" t="s">
        <v>149</v>
      </c>
      <c r="AF95" s="14"/>
      <c r="AG95" s="13">
        <v>46239.0</v>
      </c>
      <c r="AH95" s="13">
        <v>46265.0</v>
      </c>
      <c r="AI95" s="14"/>
      <c r="AJ95" s="10">
        <v>14316.0</v>
      </c>
      <c r="AK95" s="14"/>
      <c r="AL95" s="14"/>
      <c r="AM95" s="14"/>
      <c r="AN95" s="14"/>
      <c r="AO95" s="14"/>
      <c r="AP95" s="11" t="s">
        <v>136</v>
      </c>
      <c r="AQ95" s="11" t="s">
        <v>136</v>
      </c>
      <c r="AR95" s="14"/>
      <c r="AS95" s="14"/>
      <c r="AT95" s="14"/>
      <c r="AU95" s="11" t="s">
        <v>160</v>
      </c>
      <c r="AV95" s="11" t="s">
        <v>162</v>
      </c>
      <c r="AW95" s="11" t="s">
        <v>1335</v>
      </c>
      <c r="AX95" s="11">
        <v>2.031154997E9</v>
      </c>
      <c r="AY95" s="11" t="s">
        <v>1336</v>
      </c>
      <c r="AZ95" s="11">
        <v>8.1214235568E10</v>
      </c>
      <c r="BA95" s="11" t="s">
        <v>1337</v>
      </c>
      <c r="BB95" s="11" t="s">
        <v>198</v>
      </c>
    </row>
    <row r="96">
      <c r="A96" s="10">
        <v>265504.0</v>
      </c>
      <c r="B96" s="11" t="s">
        <v>278</v>
      </c>
      <c r="C96" s="11">
        <v>8.8217641516E10</v>
      </c>
      <c r="D96" s="11" t="s">
        <v>1338</v>
      </c>
      <c r="E96" s="11" t="s">
        <v>1318</v>
      </c>
      <c r="F96" s="11" t="s">
        <v>122</v>
      </c>
      <c r="G96" s="11" t="s">
        <v>1339</v>
      </c>
      <c r="H96" s="13">
        <v>36971.0</v>
      </c>
      <c r="I96" s="10">
        <v>801.0</v>
      </c>
      <c r="J96" s="11" t="s">
        <v>419</v>
      </c>
      <c r="K96" s="11" t="s">
        <v>130</v>
      </c>
      <c r="L96" s="11" t="s">
        <v>131</v>
      </c>
      <c r="M96" s="10">
        <v>15.0</v>
      </c>
      <c r="N96" s="10">
        <v>801.0</v>
      </c>
      <c r="O96" s="10">
        <v>3937.0</v>
      </c>
      <c r="P96" s="11" t="s">
        <v>1340</v>
      </c>
      <c r="Q96" s="11" t="s">
        <v>136</v>
      </c>
      <c r="R96" s="13">
        <v>46239.0</v>
      </c>
      <c r="S96" s="11" t="s">
        <v>137</v>
      </c>
      <c r="T96" s="14"/>
      <c r="U96" s="13">
        <v>46265.0</v>
      </c>
      <c r="W96" s="11" t="s">
        <v>143</v>
      </c>
      <c r="X96" s="14"/>
      <c r="Y96" s="11" t="s">
        <v>861</v>
      </c>
      <c r="Z96" s="10">
        <v>15.0</v>
      </c>
      <c r="AA96" s="10">
        <v>801.0</v>
      </c>
      <c r="AB96" s="10">
        <v>3928.0</v>
      </c>
      <c r="AC96" s="14"/>
      <c r="AD96" s="11" t="s">
        <v>147</v>
      </c>
      <c r="AE96" s="11" t="s">
        <v>149</v>
      </c>
      <c r="AF96" s="14"/>
      <c r="AG96" s="13">
        <v>46239.0</v>
      </c>
      <c r="AH96" s="13">
        <v>46265.0</v>
      </c>
      <c r="AI96" s="14"/>
      <c r="AJ96" s="10">
        <v>14321.0</v>
      </c>
      <c r="AK96" s="14"/>
      <c r="AL96" s="14"/>
      <c r="AM96" s="14"/>
      <c r="AN96" s="14"/>
      <c r="AO96" s="14"/>
      <c r="AP96" s="11" t="s">
        <v>136</v>
      </c>
      <c r="AQ96" s="11" t="s">
        <v>136</v>
      </c>
      <c r="AR96" s="14"/>
      <c r="AS96" s="14"/>
      <c r="AT96" s="14"/>
      <c r="AU96" s="11" t="s">
        <v>160</v>
      </c>
      <c r="AV96" s="11" t="s">
        <v>162</v>
      </c>
      <c r="AW96" s="11" t="s">
        <v>278</v>
      </c>
      <c r="AX96" s="11">
        <v>8.291068537E9</v>
      </c>
      <c r="AY96" s="14"/>
      <c r="AZ96" s="14"/>
      <c r="BA96" s="14"/>
      <c r="BB96" s="14"/>
    </row>
    <row r="97">
      <c r="A97" s="10">
        <v>265510.0</v>
      </c>
      <c r="B97" s="11" t="s">
        <v>280</v>
      </c>
      <c r="C97" s="11">
        <v>8.5298512206E10</v>
      </c>
      <c r="D97" s="11" t="s">
        <v>1341</v>
      </c>
      <c r="E97" s="11" t="s">
        <v>41</v>
      </c>
      <c r="F97" s="11" t="s">
        <v>122</v>
      </c>
      <c r="G97" s="11" t="s">
        <v>1342</v>
      </c>
      <c r="H97" s="13">
        <v>36429.0</v>
      </c>
      <c r="I97" s="10">
        <v>930.0</v>
      </c>
      <c r="J97" s="11" t="s">
        <v>128</v>
      </c>
      <c r="K97" s="11" t="s">
        <v>392</v>
      </c>
      <c r="L97" s="11" t="s">
        <v>207</v>
      </c>
      <c r="M97" s="10">
        <v>26.0</v>
      </c>
      <c r="N97" s="10">
        <v>935.0</v>
      </c>
      <c r="O97" s="10">
        <v>5564.0</v>
      </c>
      <c r="P97" s="11" t="s">
        <v>1344</v>
      </c>
      <c r="Q97" s="11" t="s">
        <v>136</v>
      </c>
      <c r="R97" s="13">
        <v>46240.0</v>
      </c>
      <c r="S97" s="11" t="s">
        <v>137</v>
      </c>
      <c r="T97" s="14"/>
      <c r="U97" s="13">
        <v>46265.0</v>
      </c>
      <c r="W97" s="11" t="s">
        <v>143</v>
      </c>
      <c r="X97" s="14"/>
      <c r="Y97" s="11" t="s">
        <v>861</v>
      </c>
      <c r="Z97" s="10">
        <v>26.0</v>
      </c>
      <c r="AA97" s="10">
        <v>935.0</v>
      </c>
      <c r="AB97" s="10">
        <v>5564.0</v>
      </c>
      <c r="AC97" s="14"/>
      <c r="AD97" s="11" t="s">
        <v>147</v>
      </c>
      <c r="AE97" s="11" t="s">
        <v>149</v>
      </c>
      <c r="AF97" s="14"/>
      <c r="AG97" s="13">
        <v>46240.0</v>
      </c>
      <c r="AH97" s="13">
        <v>46265.0</v>
      </c>
      <c r="AI97" s="14"/>
      <c r="AJ97" s="10">
        <v>11095.0</v>
      </c>
      <c r="AK97" s="14"/>
      <c r="AL97" s="14"/>
      <c r="AM97" s="14"/>
      <c r="AN97" s="14"/>
      <c r="AO97" s="14"/>
      <c r="AP97" s="11" t="s">
        <v>136</v>
      </c>
      <c r="AQ97" s="11" t="s">
        <v>136</v>
      </c>
      <c r="AR97" s="14"/>
      <c r="AS97" s="14"/>
      <c r="AT97" s="14"/>
      <c r="AU97" s="11" t="s">
        <v>160</v>
      </c>
      <c r="AV97" s="11" t="s">
        <v>742</v>
      </c>
      <c r="AW97" s="11" t="s">
        <v>280</v>
      </c>
      <c r="AX97" s="11">
        <v>5.1980100976353E14</v>
      </c>
      <c r="AY97" s="14"/>
      <c r="AZ97" s="14"/>
      <c r="BA97" s="14"/>
      <c r="BB97" s="14"/>
    </row>
    <row r="98">
      <c r="A98" s="10">
        <v>266419.0</v>
      </c>
      <c r="B98" s="11" t="s">
        <v>281</v>
      </c>
      <c r="C98" s="11">
        <v>8.951342039E10</v>
      </c>
      <c r="D98" s="11" t="s">
        <v>1345</v>
      </c>
      <c r="E98" s="11" t="s">
        <v>41</v>
      </c>
      <c r="F98" s="11" t="s">
        <v>122</v>
      </c>
      <c r="G98" s="11" t="s">
        <v>1346</v>
      </c>
      <c r="H98" s="13">
        <v>38010.0</v>
      </c>
      <c r="I98" s="10">
        <v>957.0</v>
      </c>
      <c r="J98" s="11" t="s">
        <v>128</v>
      </c>
      <c r="K98" s="11" t="s">
        <v>392</v>
      </c>
      <c r="L98" s="11" t="s">
        <v>207</v>
      </c>
      <c r="M98" s="10">
        <v>27.0</v>
      </c>
      <c r="N98" s="10">
        <v>941.0</v>
      </c>
      <c r="O98" s="10">
        <v>5626.0</v>
      </c>
      <c r="P98" s="11" t="s">
        <v>1347</v>
      </c>
      <c r="Q98" s="11" t="s">
        <v>136</v>
      </c>
      <c r="R98" s="13">
        <v>46242.0</v>
      </c>
      <c r="S98" s="11" t="s">
        <v>137</v>
      </c>
      <c r="T98" s="14"/>
      <c r="U98" s="13">
        <v>46265.0</v>
      </c>
      <c r="W98" s="14"/>
      <c r="X98" s="14"/>
      <c r="Y98" s="11" t="s">
        <v>861</v>
      </c>
      <c r="Z98" s="10">
        <v>27.0</v>
      </c>
      <c r="AA98" s="10">
        <v>957.0</v>
      </c>
      <c r="AB98" s="14"/>
      <c r="AC98" s="14"/>
      <c r="AD98" s="11" t="s">
        <v>147</v>
      </c>
      <c r="AE98" s="11" t="s">
        <v>149</v>
      </c>
      <c r="AF98" s="14"/>
      <c r="AG98" s="13">
        <v>46242.0</v>
      </c>
      <c r="AH98" s="13">
        <v>46265.0</v>
      </c>
      <c r="AI98" s="14"/>
      <c r="AJ98" s="10">
        <v>13472.0</v>
      </c>
      <c r="AK98" s="14"/>
      <c r="AL98" s="14"/>
      <c r="AM98" s="11">
        <v>2.6041331161E10</v>
      </c>
      <c r="AN98" s="14"/>
      <c r="AO98" s="11" t="s">
        <v>1346</v>
      </c>
      <c r="AP98" s="11" t="s">
        <v>136</v>
      </c>
      <c r="AQ98" s="11" t="s">
        <v>136</v>
      </c>
      <c r="AR98" s="14"/>
      <c r="AS98" s="14"/>
      <c r="AT98" s="11" t="s">
        <v>219</v>
      </c>
      <c r="AU98" s="11" t="s">
        <v>160</v>
      </c>
      <c r="AV98" s="11" t="s">
        <v>1348</v>
      </c>
      <c r="AW98" s="11" t="s">
        <v>281</v>
      </c>
      <c r="AX98" s="11">
        <v>8.791073361E9</v>
      </c>
      <c r="AY98" s="11" t="s">
        <v>1349</v>
      </c>
      <c r="AZ98" s="11">
        <v>8.281262499169E12</v>
      </c>
      <c r="BA98" s="11" t="s">
        <v>1350</v>
      </c>
      <c r="BB98" s="11" t="s">
        <v>227</v>
      </c>
    </row>
    <row r="99">
      <c r="A99" s="10">
        <v>266738.0</v>
      </c>
      <c r="B99" s="11" t="s">
        <v>282</v>
      </c>
      <c r="C99" s="11">
        <v>8.1239754529E10</v>
      </c>
      <c r="D99" s="11" t="s">
        <v>1351</v>
      </c>
      <c r="E99" s="11" t="s">
        <v>41</v>
      </c>
      <c r="F99" s="11" t="s">
        <v>265</v>
      </c>
      <c r="G99" s="11" t="s">
        <v>1352</v>
      </c>
      <c r="H99" s="13">
        <v>35212.0</v>
      </c>
      <c r="I99" s="10">
        <v>838.0</v>
      </c>
      <c r="J99" s="11" t="s">
        <v>419</v>
      </c>
      <c r="K99" s="11" t="s">
        <v>130</v>
      </c>
      <c r="L99" s="11" t="s">
        <v>207</v>
      </c>
      <c r="M99" s="10">
        <v>23.0</v>
      </c>
      <c r="N99" s="10">
        <v>900.0</v>
      </c>
      <c r="O99" s="10">
        <v>5154.0</v>
      </c>
      <c r="P99" s="11" t="s">
        <v>1353</v>
      </c>
      <c r="Q99" s="11" t="s">
        <v>136</v>
      </c>
      <c r="R99" s="13">
        <v>46247.0</v>
      </c>
      <c r="S99" s="11" t="s">
        <v>137</v>
      </c>
      <c r="T99" s="14"/>
      <c r="U99" s="13">
        <v>46265.0</v>
      </c>
      <c r="W99" s="11" t="s">
        <v>143</v>
      </c>
      <c r="X99" s="14"/>
      <c r="Y99" s="11" t="s">
        <v>861</v>
      </c>
      <c r="Z99" s="10">
        <v>23.0</v>
      </c>
      <c r="AA99" s="10">
        <v>900.0</v>
      </c>
      <c r="AB99" s="10">
        <v>5152.0</v>
      </c>
      <c r="AC99" s="14"/>
      <c r="AD99" s="11" t="s">
        <v>147</v>
      </c>
      <c r="AE99" s="11" t="s">
        <v>149</v>
      </c>
      <c r="AF99" s="14"/>
      <c r="AG99" s="13">
        <v>46247.0</v>
      </c>
      <c r="AH99" s="13">
        <v>46265.0</v>
      </c>
      <c r="AI99" s="14"/>
      <c r="AJ99" s="10">
        <v>11123.0</v>
      </c>
      <c r="AK99" s="14"/>
      <c r="AL99" s="14"/>
      <c r="AM99" s="14"/>
      <c r="AN99" s="14"/>
      <c r="AO99" s="14"/>
      <c r="AP99" s="11" t="s">
        <v>136</v>
      </c>
      <c r="AQ99" s="11" t="s">
        <v>136</v>
      </c>
      <c r="AR99" s="14"/>
      <c r="AS99" s="14"/>
      <c r="AT99" s="14"/>
      <c r="AU99" s="11" t="s">
        <v>160</v>
      </c>
      <c r="AV99" s="11" t="s">
        <v>846</v>
      </c>
      <c r="AW99" s="11" t="s">
        <v>1354</v>
      </c>
      <c r="AX99" s="11">
        <v>1.192838885E9</v>
      </c>
      <c r="AY99" s="11" t="s">
        <v>1355</v>
      </c>
      <c r="AZ99" s="11">
        <v>8.1250334517E10</v>
      </c>
      <c r="BA99" s="11" t="s">
        <v>1356</v>
      </c>
      <c r="BB99" s="11" t="s">
        <v>526</v>
      </c>
    </row>
    <row r="100">
      <c r="A100" s="10">
        <v>268600.0</v>
      </c>
      <c r="B100" s="11" t="s">
        <v>286</v>
      </c>
      <c r="C100" s="11">
        <v>8.211304807E9</v>
      </c>
      <c r="D100" s="11" t="s">
        <v>1357</v>
      </c>
      <c r="E100" s="11" t="s">
        <v>611</v>
      </c>
      <c r="F100" s="11" t="s">
        <v>122</v>
      </c>
      <c r="G100" s="11" t="s">
        <v>1358</v>
      </c>
      <c r="H100" s="13">
        <v>39481.0</v>
      </c>
      <c r="I100" s="10">
        <v>818.0</v>
      </c>
      <c r="J100" s="11" t="s">
        <v>269</v>
      </c>
      <c r="K100" s="11" t="s">
        <v>130</v>
      </c>
      <c r="L100" s="11" t="s">
        <v>207</v>
      </c>
      <c r="M100" s="10">
        <v>17.0</v>
      </c>
      <c r="N100" s="10">
        <v>819.0</v>
      </c>
      <c r="O100" s="10">
        <v>4164.0</v>
      </c>
      <c r="P100" s="11" t="s">
        <v>1359</v>
      </c>
      <c r="Q100" s="11" t="s">
        <v>136</v>
      </c>
      <c r="R100" s="13">
        <v>46258.0</v>
      </c>
      <c r="S100" s="11" t="s">
        <v>137</v>
      </c>
      <c r="T100" s="14"/>
      <c r="U100" s="13">
        <v>46265.0</v>
      </c>
      <c r="W100" s="14"/>
      <c r="X100" s="14"/>
      <c r="Y100" s="11" t="s">
        <v>861</v>
      </c>
      <c r="Z100" s="10">
        <v>17.0</v>
      </c>
      <c r="AA100" s="10">
        <v>819.0</v>
      </c>
      <c r="AB100" s="14"/>
      <c r="AC100" s="14"/>
      <c r="AD100" s="11" t="s">
        <v>147</v>
      </c>
      <c r="AE100" s="11" t="s">
        <v>149</v>
      </c>
      <c r="AF100" s="14"/>
      <c r="AG100" s="13">
        <v>46258.0</v>
      </c>
      <c r="AH100" s="13">
        <v>46265.0</v>
      </c>
      <c r="AI100" s="14"/>
      <c r="AJ100" s="10">
        <v>14124.0</v>
      </c>
      <c r="AK100" s="14"/>
      <c r="AL100" s="14"/>
      <c r="AM100" s="14"/>
      <c r="AN100" s="14"/>
      <c r="AO100" s="14"/>
      <c r="AP100" s="11" t="s">
        <v>136</v>
      </c>
      <c r="AQ100" s="11" t="s">
        <v>136</v>
      </c>
      <c r="AR100" s="14"/>
      <c r="AS100" s="14"/>
      <c r="AT100" s="14"/>
      <c r="AU100" s="11" t="s">
        <v>160</v>
      </c>
      <c r="AV100" s="11" t="s">
        <v>742</v>
      </c>
      <c r="AW100" s="11" t="s">
        <v>1360</v>
      </c>
      <c r="AX100" s="11">
        <v>1.2401018067539E13</v>
      </c>
      <c r="AY100" s="11" t="s">
        <v>1362</v>
      </c>
      <c r="AZ100" s="11">
        <v>8.81037675722E11</v>
      </c>
      <c r="BA100" s="11" t="s">
        <v>1363</v>
      </c>
      <c r="BB100" s="11" t="s">
        <v>526</v>
      </c>
    </row>
    <row r="101">
      <c r="A101" s="10">
        <v>268832.0</v>
      </c>
      <c r="B101" s="11" t="s">
        <v>287</v>
      </c>
      <c r="C101" s="11">
        <v>8.95320866466E11</v>
      </c>
      <c r="D101" s="11" t="s">
        <v>1364</v>
      </c>
      <c r="E101" s="11" t="s">
        <v>41</v>
      </c>
      <c r="F101" s="11" t="s">
        <v>122</v>
      </c>
      <c r="G101" s="11" t="s">
        <v>1365</v>
      </c>
      <c r="H101" s="13">
        <v>39415.0</v>
      </c>
      <c r="I101" s="10">
        <v>649.0</v>
      </c>
      <c r="J101" s="11" t="s">
        <v>128</v>
      </c>
      <c r="K101" s="11" t="s">
        <v>333</v>
      </c>
      <c r="L101" s="11" t="s">
        <v>207</v>
      </c>
      <c r="M101" s="10">
        <v>6.0</v>
      </c>
      <c r="N101" s="10">
        <v>649.0</v>
      </c>
      <c r="O101" s="10">
        <v>1458.0</v>
      </c>
      <c r="P101" s="11" t="s">
        <v>1366</v>
      </c>
      <c r="Q101" s="11" t="s">
        <v>136</v>
      </c>
      <c r="R101" s="13">
        <v>46256.0</v>
      </c>
      <c r="S101" s="11" t="s">
        <v>137</v>
      </c>
      <c r="T101" s="14"/>
      <c r="U101" s="13">
        <v>46265.0</v>
      </c>
      <c r="W101" s="11" t="s">
        <v>143</v>
      </c>
      <c r="X101" s="14"/>
      <c r="Y101" s="11" t="s">
        <v>861</v>
      </c>
      <c r="Z101" s="10">
        <v>6.0</v>
      </c>
      <c r="AA101" s="10">
        <v>649.0</v>
      </c>
      <c r="AB101" s="14"/>
      <c r="AC101" s="14"/>
      <c r="AD101" s="11" t="s">
        <v>147</v>
      </c>
      <c r="AE101" s="11" t="s">
        <v>149</v>
      </c>
      <c r="AF101" s="14"/>
      <c r="AG101" s="13">
        <v>46256.0</v>
      </c>
      <c r="AH101" s="13">
        <v>46265.0</v>
      </c>
      <c r="AI101" s="14"/>
      <c r="AJ101" s="10">
        <v>11104.0</v>
      </c>
      <c r="AK101" s="14"/>
      <c r="AL101" s="14"/>
      <c r="AM101" s="14"/>
      <c r="AN101" s="14"/>
      <c r="AO101" s="14"/>
      <c r="AP101" s="11" t="s">
        <v>136</v>
      </c>
      <c r="AQ101" s="11" t="s">
        <v>136</v>
      </c>
      <c r="AR101" s="14"/>
      <c r="AS101" s="14"/>
      <c r="AT101" s="14"/>
      <c r="AU101" s="11" t="s">
        <v>160</v>
      </c>
      <c r="AV101" s="11" t="s">
        <v>162</v>
      </c>
      <c r="AW101" s="11" t="s">
        <v>1367</v>
      </c>
      <c r="AX101" s="11">
        <v>1.160615202E9</v>
      </c>
      <c r="AY101" s="14"/>
      <c r="AZ101" s="14"/>
      <c r="BA101" s="14"/>
      <c r="BB101" s="14"/>
    </row>
  </sheetData>
  <mergeCells count="92">
    <mergeCell ref="U59:V59"/>
    <mergeCell ref="U60:V60"/>
    <mergeCell ref="U61:V61"/>
    <mergeCell ref="U62:V62"/>
    <mergeCell ref="U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U75:V75"/>
    <mergeCell ref="U76:V76"/>
    <mergeCell ref="U77:V77"/>
    <mergeCell ref="U78:V78"/>
    <mergeCell ref="U79:V79"/>
    <mergeCell ref="U80:V80"/>
    <mergeCell ref="U81:V81"/>
    <mergeCell ref="U82:V82"/>
    <mergeCell ref="U83:V83"/>
    <mergeCell ref="U84:V84"/>
    <mergeCell ref="U85:V85"/>
    <mergeCell ref="U86:V86"/>
    <mergeCell ref="U94:V94"/>
    <mergeCell ref="U95:V95"/>
    <mergeCell ref="U96:V96"/>
    <mergeCell ref="U97:V97"/>
    <mergeCell ref="U98:V98"/>
    <mergeCell ref="U99:V99"/>
    <mergeCell ref="U100:V100"/>
    <mergeCell ref="U101:V101"/>
    <mergeCell ref="U87:V87"/>
    <mergeCell ref="U88:V88"/>
    <mergeCell ref="U89:V89"/>
    <mergeCell ref="U90:V90"/>
    <mergeCell ref="U91:V91"/>
    <mergeCell ref="U92:V92"/>
    <mergeCell ref="U93:V93"/>
    <mergeCell ref="U2:V2"/>
    <mergeCell ref="U3:V3"/>
    <mergeCell ref="U4:V4"/>
    <mergeCell ref="U5:V5"/>
    <mergeCell ref="U6:V6"/>
    <mergeCell ref="U8:V8"/>
    <mergeCell ref="U9:V9"/>
    <mergeCell ref="U10:V10"/>
    <mergeCell ref="U11:V11"/>
    <mergeCell ref="U12:V12"/>
    <mergeCell ref="U16:V16"/>
    <mergeCell ref="U17:V17"/>
    <mergeCell ref="U18:V18"/>
    <mergeCell ref="U19:V19"/>
    <mergeCell ref="U21:V21"/>
    <mergeCell ref="U22:V22"/>
    <mergeCell ref="U23:V23"/>
    <mergeCell ref="U24:V24"/>
    <mergeCell ref="U25:V25"/>
    <mergeCell ref="U26:V26"/>
    <mergeCell ref="U27:V27"/>
    <mergeCell ref="U28:V28"/>
    <mergeCell ref="U29:V29"/>
    <mergeCell ref="U30:V30"/>
    <mergeCell ref="U31:V31"/>
    <mergeCell ref="U34:V34"/>
    <mergeCell ref="U35:V35"/>
    <mergeCell ref="U36:V36"/>
    <mergeCell ref="U37:V37"/>
    <mergeCell ref="U38:V38"/>
    <mergeCell ref="U39:V39"/>
    <mergeCell ref="U40:V40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U51:V51"/>
    <mergeCell ref="U52:V52"/>
    <mergeCell ref="U53:V53"/>
    <mergeCell ref="U54:V54"/>
    <mergeCell ref="U55:V55"/>
    <mergeCell ref="U56:V56"/>
    <mergeCell ref="U57:V57"/>
    <mergeCell ref="U58:V5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9.5"/>
    <col customWidth="1" min="3" max="3" width="21.25"/>
    <col customWidth="1" min="4" max="4" width="20.63"/>
  </cols>
  <sheetData>
    <row r="1">
      <c r="A1" s="2" t="s">
        <v>1</v>
      </c>
      <c r="B1" s="2" t="s">
        <v>9</v>
      </c>
      <c r="C1" s="2" t="s">
        <v>16</v>
      </c>
      <c r="D1" s="2" t="s">
        <v>18</v>
      </c>
    </row>
    <row r="2">
      <c r="A2" s="4" t="s">
        <v>20</v>
      </c>
      <c r="B2" s="5">
        <v>43409.0</v>
      </c>
      <c r="C2" s="5">
        <v>46167.0</v>
      </c>
      <c r="D2" s="5">
        <v>46265.0</v>
      </c>
    </row>
    <row r="3">
      <c r="A3" s="4" t="s">
        <v>29</v>
      </c>
      <c r="B3" s="5">
        <v>42826.0</v>
      </c>
      <c r="C3" s="5">
        <v>46167.0</v>
      </c>
      <c r="D3" s="5">
        <v>46265.0</v>
      </c>
    </row>
    <row r="4">
      <c r="A4" s="4" t="s">
        <v>33</v>
      </c>
      <c r="B4" s="5">
        <v>43777.0</v>
      </c>
      <c r="C4" s="5">
        <v>46167.0</v>
      </c>
      <c r="D4" s="5">
        <v>46265.0</v>
      </c>
    </row>
    <row r="5">
      <c r="A5" s="4" t="s">
        <v>35</v>
      </c>
      <c r="B5" s="5">
        <v>44077.0</v>
      </c>
      <c r="C5" s="5">
        <v>46167.0</v>
      </c>
      <c r="D5" s="5">
        <v>46265.0</v>
      </c>
    </row>
    <row r="6">
      <c r="A6" s="4" t="s">
        <v>38</v>
      </c>
      <c r="B6" s="5">
        <v>44753.0</v>
      </c>
      <c r="C6" s="5">
        <v>46198.0</v>
      </c>
      <c r="D6" s="5">
        <v>46265.0</v>
      </c>
    </row>
    <row r="7">
      <c r="A7" s="4" t="s">
        <v>40</v>
      </c>
      <c r="B7" s="5">
        <v>44852.0</v>
      </c>
      <c r="C7" s="5">
        <v>46167.0</v>
      </c>
      <c r="D7" s="5">
        <v>46265.0</v>
      </c>
    </row>
    <row r="8">
      <c r="A8" s="4" t="s">
        <v>45</v>
      </c>
      <c r="B8" s="5">
        <v>44844.0</v>
      </c>
      <c r="C8" s="5">
        <v>46167.0</v>
      </c>
      <c r="D8" s="5">
        <v>46265.0</v>
      </c>
    </row>
    <row r="9">
      <c r="A9" s="4" t="s">
        <v>49</v>
      </c>
      <c r="B9" s="5">
        <v>44858.0</v>
      </c>
      <c r="C9" s="5">
        <v>46167.0</v>
      </c>
      <c r="D9" s="5">
        <v>46265.0</v>
      </c>
    </row>
    <row r="10">
      <c r="A10" s="4" t="s">
        <v>52</v>
      </c>
      <c r="B10" s="5">
        <v>44911.0</v>
      </c>
      <c r="C10" s="5">
        <v>46198.0</v>
      </c>
      <c r="D10" s="5">
        <v>46265.0</v>
      </c>
    </row>
    <row r="11">
      <c r="A11" s="4" t="s">
        <v>53</v>
      </c>
      <c r="B11" s="5">
        <v>45147.0</v>
      </c>
      <c r="C11" s="5">
        <v>46167.0</v>
      </c>
      <c r="D11" s="5">
        <v>46265.0</v>
      </c>
    </row>
    <row r="12">
      <c r="A12" s="4" t="s">
        <v>55</v>
      </c>
      <c r="B12" s="5">
        <v>45323.0</v>
      </c>
      <c r="C12" s="5">
        <v>46228.0</v>
      </c>
      <c r="D12" s="5">
        <v>46265.0</v>
      </c>
    </row>
    <row r="13">
      <c r="A13" s="4" t="s">
        <v>57</v>
      </c>
      <c r="B13" s="5">
        <v>45327.0</v>
      </c>
      <c r="C13" s="5">
        <v>46167.0</v>
      </c>
      <c r="D13" s="5">
        <v>46258.0</v>
      </c>
    </row>
    <row r="14">
      <c r="A14" s="4" t="s">
        <v>59</v>
      </c>
      <c r="B14" s="5">
        <v>45546.0</v>
      </c>
      <c r="C14" s="5">
        <v>46198.0</v>
      </c>
      <c r="D14" s="5">
        <v>46265.0</v>
      </c>
    </row>
    <row r="15">
      <c r="A15" s="4" t="s">
        <v>62</v>
      </c>
      <c r="B15" s="5">
        <v>45553.0</v>
      </c>
      <c r="C15" s="5">
        <v>46167.0</v>
      </c>
      <c r="D15" s="5">
        <v>46265.0</v>
      </c>
    </row>
    <row r="16">
      <c r="A16" s="4" t="s">
        <v>64</v>
      </c>
      <c r="B16" s="5">
        <v>45567.0</v>
      </c>
      <c r="C16" s="5">
        <v>46167.0</v>
      </c>
      <c r="D16" s="5">
        <v>46265.0</v>
      </c>
    </row>
    <row r="17">
      <c r="A17" s="4" t="s">
        <v>67</v>
      </c>
      <c r="B17" s="5">
        <v>45576.0</v>
      </c>
      <c r="C17" s="5">
        <v>46167.0</v>
      </c>
      <c r="D17" s="5">
        <v>46265.0</v>
      </c>
    </row>
    <row r="18">
      <c r="A18" s="4" t="s">
        <v>70</v>
      </c>
      <c r="B18" s="5">
        <v>45627.0</v>
      </c>
      <c r="C18" s="5">
        <v>46167.0</v>
      </c>
      <c r="D18" s="5">
        <v>46265.0</v>
      </c>
    </row>
    <row r="19">
      <c r="A19" s="4" t="s">
        <v>74</v>
      </c>
      <c r="B19" s="5">
        <v>45647.0</v>
      </c>
      <c r="C19" s="5">
        <v>46198.0</v>
      </c>
      <c r="D19" s="5">
        <v>46265.0</v>
      </c>
    </row>
    <row r="20">
      <c r="A20" s="4" t="s">
        <v>77</v>
      </c>
      <c r="B20" s="5">
        <v>45685.0</v>
      </c>
      <c r="C20" s="5">
        <v>45901.0</v>
      </c>
      <c r="D20" s="5">
        <v>46265.0</v>
      </c>
    </row>
    <row r="21">
      <c r="A21" s="4" t="s">
        <v>81</v>
      </c>
      <c r="B21" s="5">
        <v>45685.0</v>
      </c>
      <c r="C21" s="5">
        <v>46198.0</v>
      </c>
      <c r="D21" s="5">
        <v>46265.0</v>
      </c>
    </row>
    <row r="22">
      <c r="A22" s="4" t="s">
        <v>83</v>
      </c>
      <c r="B22" s="5">
        <v>45691.0</v>
      </c>
      <c r="C22" s="5">
        <v>46167.0</v>
      </c>
      <c r="D22" s="5">
        <v>46265.0</v>
      </c>
    </row>
    <row r="23">
      <c r="A23" s="4" t="s">
        <v>85</v>
      </c>
      <c r="B23" s="5">
        <v>45712.0</v>
      </c>
      <c r="C23" s="5">
        <v>46167.0</v>
      </c>
      <c r="D23" s="5">
        <v>46265.0</v>
      </c>
    </row>
    <row r="24">
      <c r="A24" s="4" t="s">
        <v>118</v>
      </c>
      <c r="B24" s="5">
        <v>45712.0</v>
      </c>
      <c r="C24" s="5">
        <v>46167.0</v>
      </c>
      <c r="D24" s="5">
        <v>46265.0</v>
      </c>
    </row>
    <row r="25">
      <c r="A25" s="4" t="s">
        <v>121</v>
      </c>
      <c r="B25" s="5">
        <v>45741.0</v>
      </c>
      <c r="C25" s="5">
        <v>46167.0</v>
      </c>
      <c r="D25" s="5">
        <v>46265.0</v>
      </c>
    </row>
    <row r="26">
      <c r="A26" s="4" t="s">
        <v>123</v>
      </c>
      <c r="B26" s="5">
        <v>45769.0</v>
      </c>
      <c r="C26" s="5">
        <v>46167.0</v>
      </c>
      <c r="D26" s="5">
        <v>46265.0</v>
      </c>
    </row>
    <row r="27">
      <c r="A27" s="4" t="s">
        <v>125</v>
      </c>
      <c r="B27" s="5">
        <v>45796.0</v>
      </c>
      <c r="C27" s="5">
        <v>46167.0</v>
      </c>
      <c r="D27" s="5">
        <v>46265.0</v>
      </c>
    </row>
    <row r="28">
      <c r="A28" s="4" t="s">
        <v>129</v>
      </c>
      <c r="B28" s="5">
        <v>45784.0</v>
      </c>
      <c r="C28" s="5">
        <v>46167.0</v>
      </c>
      <c r="D28" s="5">
        <v>46265.0</v>
      </c>
    </row>
    <row r="29">
      <c r="A29" s="4" t="s">
        <v>132</v>
      </c>
      <c r="B29" s="5">
        <v>45796.0</v>
      </c>
      <c r="C29" s="5">
        <v>46167.0</v>
      </c>
      <c r="D29" s="5">
        <v>46265.0</v>
      </c>
    </row>
    <row r="30">
      <c r="A30" s="4" t="s">
        <v>135</v>
      </c>
      <c r="B30" s="5">
        <v>45803.0</v>
      </c>
      <c r="C30" s="5">
        <v>46167.0</v>
      </c>
      <c r="D30" s="5">
        <v>46265.0</v>
      </c>
    </row>
    <row r="31">
      <c r="A31" s="4" t="s">
        <v>138</v>
      </c>
      <c r="B31" s="5">
        <v>45810.0</v>
      </c>
      <c r="C31" s="5">
        <v>46198.0</v>
      </c>
      <c r="D31" s="5">
        <v>46265.0</v>
      </c>
    </row>
    <row r="32">
      <c r="A32" s="4" t="s">
        <v>140</v>
      </c>
      <c r="B32" s="5">
        <v>45812.0</v>
      </c>
      <c r="C32" s="5">
        <v>46198.0</v>
      </c>
      <c r="D32" s="5">
        <v>46265.0</v>
      </c>
    </row>
    <row r="33">
      <c r="A33" s="4" t="s">
        <v>141</v>
      </c>
      <c r="B33" s="5">
        <v>45819.0</v>
      </c>
      <c r="C33" s="5">
        <v>46198.0</v>
      </c>
      <c r="D33" s="5">
        <v>46265.0</v>
      </c>
    </row>
    <row r="34">
      <c r="A34" s="4" t="s">
        <v>142</v>
      </c>
      <c r="B34" s="5">
        <v>45824.0</v>
      </c>
      <c r="C34" s="5">
        <v>46198.0</v>
      </c>
      <c r="D34" s="5">
        <v>46265.0</v>
      </c>
    </row>
    <row r="35">
      <c r="A35" s="4" t="s">
        <v>144</v>
      </c>
      <c r="B35" s="5">
        <v>45826.0</v>
      </c>
      <c r="C35" s="5">
        <v>46198.0</v>
      </c>
      <c r="D35" s="5">
        <v>46265.0</v>
      </c>
    </row>
    <row r="36">
      <c r="A36" s="4" t="s">
        <v>146</v>
      </c>
      <c r="B36" s="5">
        <v>45835.0</v>
      </c>
      <c r="C36" s="5">
        <v>46198.0</v>
      </c>
      <c r="D36" s="5">
        <v>46265.0</v>
      </c>
    </row>
    <row r="37">
      <c r="A37" s="4" t="s">
        <v>150</v>
      </c>
      <c r="B37" s="5">
        <v>45838.0</v>
      </c>
      <c r="C37" s="5">
        <v>46198.0</v>
      </c>
      <c r="D37" s="5">
        <v>46265.0</v>
      </c>
    </row>
    <row r="38">
      <c r="A38" s="4" t="s">
        <v>151</v>
      </c>
      <c r="B38" s="5">
        <v>45839.0</v>
      </c>
      <c r="C38" s="5">
        <v>46198.0</v>
      </c>
      <c r="D38" s="5">
        <v>46265.0</v>
      </c>
    </row>
    <row r="39">
      <c r="A39" s="4" t="s">
        <v>152</v>
      </c>
      <c r="B39" s="5">
        <v>45845.0</v>
      </c>
      <c r="C39" s="5">
        <v>46167.0</v>
      </c>
      <c r="D39" s="5">
        <v>46265.0</v>
      </c>
    </row>
    <row r="40">
      <c r="A40" s="4" t="s">
        <v>157</v>
      </c>
      <c r="B40" s="5">
        <v>45236.0</v>
      </c>
      <c r="C40" s="5">
        <v>46146.0</v>
      </c>
      <c r="D40" s="5">
        <v>46265.0</v>
      </c>
    </row>
    <row r="41">
      <c r="A41" s="4" t="s">
        <v>161</v>
      </c>
      <c r="B41" s="5">
        <v>45600.0</v>
      </c>
      <c r="C41" s="5">
        <v>46167.0</v>
      </c>
      <c r="D41" s="5">
        <v>46265.0</v>
      </c>
    </row>
    <row r="42">
      <c r="A42" s="4" t="s">
        <v>166</v>
      </c>
      <c r="B42" s="5">
        <v>45915.0</v>
      </c>
      <c r="C42" s="5">
        <v>46198.0</v>
      </c>
      <c r="D42" s="5">
        <v>46265.0</v>
      </c>
    </row>
    <row r="43">
      <c r="A43" s="4" t="s">
        <v>169</v>
      </c>
      <c r="B43" s="5">
        <v>45920.0</v>
      </c>
      <c r="C43" s="5">
        <v>46198.0</v>
      </c>
      <c r="D43" s="5">
        <v>46265.0</v>
      </c>
    </row>
    <row r="44">
      <c r="A44" s="4" t="s">
        <v>171</v>
      </c>
      <c r="B44" s="5">
        <v>45934.0</v>
      </c>
      <c r="C44" s="5">
        <v>46228.0</v>
      </c>
      <c r="D44" s="5">
        <v>46265.0</v>
      </c>
    </row>
    <row r="45">
      <c r="A45" s="4" t="s">
        <v>174</v>
      </c>
      <c r="B45" s="5">
        <v>45938.0</v>
      </c>
      <c r="C45" s="5">
        <v>46228.0</v>
      </c>
      <c r="D45" s="5">
        <v>46265.0</v>
      </c>
    </row>
    <row r="46">
      <c r="A46" s="4" t="s">
        <v>175</v>
      </c>
      <c r="B46" s="5">
        <v>45940.0</v>
      </c>
      <c r="C46" s="5">
        <v>46228.0</v>
      </c>
      <c r="D46" s="5">
        <v>46265.0</v>
      </c>
    </row>
    <row r="47">
      <c r="A47" s="4" t="s">
        <v>178</v>
      </c>
      <c r="B47" s="5">
        <v>45925.0</v>
      </c>
      <c r="C47" s="5">
        <v>46198.0</v>
      </c>
      <c r="D47" s="5">
        <v>46265.0</v>
      </c>
    </row>
    <row r="48">
      <c r="A48" s="4" t="s">
        <v>180</v>
      </c>
      <c r="B48" s="5">
        <v>45957.0</v>
      </c>
      <c r="C48" s="5">
        <v>46228.0</v>
      </c>
      <c r="D48" s="5">
        <v>46265.0</v>
      </c>
    </row>
    <row r="49">
      <c r="A49" s="4" t="s">
        <v>182</v>
      </c>
      <c r="B49" s="5">
        <v>45996.0</v>
      </c>
      <c r="C49" s="5">
        <v>46198.0</v>
      </c>
      <c r="D49" s="5">
        <v>46265.0</v>
      </c>
    </row>
    <row r="50">
      <c r="A50" s="4" t="s">
        <v>183</v>
      </c>
      <c r="B50" s="5">
        <v>45996.0</v>
      </c>
      <c r="C50" s="5">
        <v>46198.0</v>
      </c>
      <c r="D50" s="5">
        <v>46265.0</v>
      </c>
    </row>
    <row r="51">
      <c r="A51" s="4" t="s">
        <v>185</v>
      </c>
      <c r="B51" s="5">
        <v>46000.0</v>
      </c>
      <c r="C51" s="5">
        <v>46198.0</v>
      </c>
      <c r="D51" s="5">
        <v>46265.0</v>
      </c>
    </row>
    <row r="52">
      <c r="A52" s="4" t="s">
        <v>186</v>
      </c>
      <c r="B52" s="5">
        <v>46002.0</v>
      </c>
      <c r="C52" s="5">
        <v>46198.0</v>
      </c>
      <c r="D52" s="5">
        <v>46265.0</v>
      </c>
    </row>
    <row r="53">
      <c r="A53" s="4" t="s">
        <v>187</v>
      </c>
      <c r="B53" s="5">
        <v>46008.0</v>
      </c>
      <c r="C53" s="5">
        <v>46198.0</v>
      </c>
      <c r="D53" s="5">
        <v>46265.0</v>
      </c>
    </row>
    <row r="54">
      <c r="A54" s="4" t="s">
        <v>188</v>
      </c>
      <c r="B54" s="5">
        <v>46008.0</v>
      </c>
      <c r="C54" s="5">
        <v>46198.0</v>
      </c>
      <c r="D54" s="5">
        <v>46265.0</v>
      </c>
    </row>
    <row r="55">
      <c r="A55" s="4" t="s">
        <v>190</v>
      </c>
      <c r="B55" s="5">
        <v>46015.0</v>
      </c>
      <c r="C55" s="5">
        <v>46198.0</v>
      </c>
      <c r="D55" s="5">
        <v>46265.0</v>
      </c>
    </row>
    <row r="56">
      <c r="A56" s="4" t="s">
        <v>193</v>
      </c>
      <c r="B56" s="5">
        <v>46027.0</v>
      </c>
      <c r="C56" s="5">
        <v>46228.0</v>
      </c>
      <c r="D56" s="5">
        <v>46265.0</v>
      </c>
    </row>
    <row r="57">
      <c r="A57" s="4" t="s">
        <v>196</v>
      </c>
      <c r="B57" s="5">
        <v>46024.0</v>
      </c>
      <c r="C57" s="5">
        <v>46228.0</v>
      </c>
      <c r="D57" s="5">
        <v>46265.0</v>
      </c>
    </row>
    <row r="58">
      <c r="A58" s="4" t="s">
        <v>199</v>
      </c>
      <c r="B58" s="5">
        <v>46027.0</v>
      </c>
      <c r="C58" s="5">
        <v>46228.0</v>
      </c>
      <c r="D58" s="5">
        <v>46265.0</v>
      </c>
    </row>
    <row r="59">
      <c r="A59" s="4" t="s">
        <v>200</v>
      </c>
      <c r="B59" s="5">
        <v>46022.0</v>
      </c>
      <c r="C59" s="5">
        <v>46198.0</v>
      </c>
      <c r="D59" s="5">
        <v>46265.0</v>
      </c>
    </row>
    <row r="60">
      <c r="A60" s="4" t="s">
        <v>202</v>
      </c>
      <c r="B60" s="5">
        <v>46022.0</v>
      </c>
      <c r="C60" s="5">
        <v>46198.0</v>
      </c>
      <c r="D60" s="5">
        <v>46265.0</v>
      </c>
    </row>
    <row r="61">
      <c r="A61" s="4" t="s">
        <v>204</v>
      </c>
      <c r="B61" s="5">
        <v>46034.0</v>
      </c>
      <c r="C61" s="5">
        <v>46228.0</v>
      </c>
      <c r="D61" s="5">
        <v>46265.0</v>
      </c>
    </row>
    <row r="62">
      <c r="A62" s="4" t="s">
        <v>208</v>
      </c>
      <c r="B62" s="5">
        <v>46034.0</v>
      </c>
      <c r="C62" s="5">
        <v>46228.0</v>
      </c>
      <c r="D62" s="5">
        <v>46265.0</v>
      </c>
    </row>
    <row r="63">
      <c r="A63" s="4" t="s">
        <v>210</v>
      </c>
      <c r="B63" s="5">
        <v>46036.0</v>
      </c>
      <c r="C63" s="5">
        <v>46228.0</v>
      </c>
      <c r="D63" s="5">
        <v>46265.0</v>
      </c>
    </row>
    <row r="64">
      <c r="A64" s="4" t="s">
        <v>212</v>
      </c>
      <c r="B64" s="5">
        <v>46043.0</v>
      </c>
      <c r="C64" s="5">
        <v>46228.0</v>
      </c>
      <c r="D64" s="5">
        <v>46265.0</v>
      </c>
    </row>
    <row r="65">
      <c r="A65" s="4" t="s">
        <v>213</v>
      </c>
      <c r="B65" s="5">
        <v>46047.0</v>
      </c>
      <c r="C65" s="5">
        <v>46228.0</v>
      </c>
      <c r="D65" s="5">
        <v>46265.0</v>
      </c>
    </row>
    <row r="66">
      <c r="A66" s="4" t="s">
        <v>215</v>
      </c>
      <c r="B66" s="5">
        <v>46055.0</v>
      </c>
      <c r="C66" s="5">
        <v>46167.0</v>
      </c>
      <c r="D66" s="5">
        <v>46265.0</v>
      </c>
    </row>
    <row r="67">
      <c r="A67" s="4" t="s">
        <v>217</v>
      </c>
      <c r="B67" s="5">
        <v>45561.0</v>
      </c>
      <c r="C67" s="5">
        <v>46198.0</v>
      </c>
      <c r="D67" s="5">
        <v>46265.0</v>
      </c>
    </row>
    <row r="68">
      <c r="A68" s="4" t="s">
        <v>218</v>
      </c>
      <c r="B68" s="5">
        <v>46055.0</v>
      </c>
      <c r="C68" s="5">
        <v>46167.0</v>
      </c>
      <c r="D68" s="5">
        <v>46265.0</v>
      </c>
    </row>
    <row r="69">
      <c r="A69" s="4" t="s">
        <v>221</v>
      </c>
      <c r="B69" s="5">
        <v>46074.0</v>
      </c>
      <c r="C69" s="5">
        <v>46167.0</v>
      </c>
      <c r="D69" s="5">
        <v>46265.0</v>
      </c>
    </row>
    <row r="70">
      <c r="A70" s="4" t="s">
        <v>225</v>
      </c>
      <c r="B70" s="5">
        <v>46077.0</v>
      </c>
      <c r="C70" s="5">
        <v>46167.0</v>
      </c>
      <c r="D70" s="5">
        <v>46265.0</v>
      </c>
    </row>
    <row r="71">
      <c r="A71" s="4" t="s">
        <v>229</v>
      </c>
      <c r="B71" s="5">
        <v>46079.0</v>
      </c>
      <c r="C71" s="5">
        <v>46167.0</v>
      </c>
      <c r="D71" s="5">
        <v>46265.0</v>
      </c>
    </row>
    <row r="72">
      <c r="A72" s="4" t="s">
        <v>231</v>
      </c>
      <c r="B72" s="5">
        <v>46083.0</v>
      </c>
      <c r="C72" s="5">
        <v>46198.0</v>
      </c>
      <c r="D72" s="5">
        <v>46265.0</v>
      </c>
    </row>
    <row r="73">
      <c r="A73" s="4" t="s">
        <v>233</v>
      </c>
      <c r="B73" s="5">
        <v>46084.0</v>
      </c>
      <c r="C73" s="5">
        <v>46198.0</v>
      </c>
      <c r="D73" s="5">
        <v>46265.0</v>
      </c>
    </row>
    <row r="74">
      <c r="A74" s="4" t="s">
        <v>235</v>
      </c>
      <c r="B74" s="5">
        <v>46084.0</v>
      </c>
      <c r="C74" s="5">
        <v>46198.0</v>
      </c>
      <c r="D74" s="5">
        <v>46265.0</v>
      </c>
    </row>
    <row r="75">
      <c r="A75" s="4" t="s">
        <v>238</v>
      </c>
      <c r="B75" s="5">
        <v>46085.0</v>
      </c>
      <c r="C75" s="5">
        <v>46198.0</v>
      </c>
      <c r="D75" s="5">
        <v>46265.0</v>
      </c>
    </row>
    <row r="76">
      <c r="A76" s="4" t="s">
        <v>241</v>
      </c>
      <c r="B76" s="5">
        <v>46083.0</v>
      </c>
      <c r="C76" s="5">
        <v>46198.0</v>
      </c>
      <c r="D76" s="5">
        <v>46265.0</v>
      </c>
    </row>
    <row r="77">
      <c r="A77" s="4" t="s">
        <v>242</v>
      </c>
      <c r="B77" s="5">
        <v>46119.0</v>
      </c>
      <c r="C77" s="5">
        <v>46228.0</v>
      </c>
      <c r="D77" s="5">
        <v>46265.0</v>
      </c>
    </row>
    <row r="78">
      <c r="A78" s="4" t="s">
        <v>243</v>
      </c>
      <c r="B78" s="5">
        <v>46128.0</v>
      </c>
      <c r="C78" s="5">
        <v>46228.0</v>
      </c>
      <c r="D78" s="5">
        <v>46265.0</v>
      </c>
    </row>
    <row r="79">
      <c r="A79" s="4" t="s">
        <v>245</v>
      </c>
      <c r="B79" s="5">
        <v>46141.0</v>
      </c>
      <c r="C79" s="5">
        <v>46228.0</v>
      </c>
      <c r="D79" s="5">
        <v>46265.0</v>
      </c>
    </row>
    <row r="80">
      <c r="A80" s="4" t="s">
        <v>247</v>
      </c>
      <c r="B80" s="5">
        <v>46146.0</v>
      </c>
      <c r="C80" s="5">
        <v>46146.0</v>
      </c>
      <c r="D80" s="5">
        <v>46265.0</v>
      </c>
    </row>
    <row r="81">
      <c r="A81" s="4" t="s">
        <v>250</v>
      </c>
      <c r="B81" s="5">
        <v>46141.0</v>
      </c>
      <c r="C81" s="5">
        <v>46228.0</v>
      </c>
      <c r="D81" s="5">
        <v>46265.0</v>
      </c>
    </row>
    <row r="82">
      <c r="A82" s="4" t="s">
        <v>251</v>
      </c>
      <c r="B82" s="5">
        <v>46153.0</v>
      </c>
      <c r="C82" s="5">
        <v>46153.0</v>
      </c>
      <c r="D82" s="5">
        <v>46265.0</v>
      </c>
    </row>
    <row r="83">
      <c r="A83" s="4" t="s">
        <v>252</v>
      </c>
      <c r="B83" s="5">
        <v>46161.0</v>
      </c>
      <c r="C83" s="5">
        <v>46161.0</v>
      </c>
      <c r="D83" s="5">
        <v>46265.0</v>
      </c>
    </row>
    <row r="84">
      <c r="A84" s="4" t="s">
        <v>255</v>
      </c>
      <c r="B84" s="5">
        <v>46164.0</v>
      </c>
      <c r="C84" s="5">
        <v>46164.0</v>
      </c>
      <c r="D84" s="5">
        <v>46265.0</v>
      </c>
    </row>
    <row r="85">
      <c r="A85" s="4" t="s">
        <v>258</v>
      </c>
      <c r="B85" s="5">
        <v>46174.0</v>
      </c>
      <c r="C85" s="5">
        <v>46174.0</v>
      </c>
      <c r="D85" s="5">
        <v>46265.0</v>
      </c>
    </row>
    <row r="86">
      <c r="A86" s="4" t="s">
        <v>261</v>
      </c>
      <c r="B86" s="5">
        <v>46174.0</v>
      </c>
      <c r="C86" s="5">
        <v>46174.0</v>
      </c>
      <c r="D86" s="5">
        <v>46265.0</v>
      </c>
    </row>
    <row r="87">
      <c r="A87" s="4" t="s">
        <v>263</v>
      </c>
      <c r="B87" s="5">
        <v>46177.0</v>
      </c>
      <c r="C87" s="5">
        <v>46177.0</v>
      </c>
      <c r="D87" s="5">
        <v>46265.0</v>
      </c>
    </row>
    <row r="88">
      <c r="A88" s="4" t="s">
        <v>267</v>
      </c>
      <c r="B88" s="5">
        <v>46175.0</v>
      </c>
      <c r="C88" s="5">
        <v>46175.0</v>
      </c>
      <c r="D88" s="5">
        <v>46265.0</v>
      </c>
    </row>
    <row r="89">
      <c r="A89" s="4" t="s">
        <v>268</v>
      </c>
      <c r="B89" s="5">
        <v>46195.0</v>
      </c>
      <c r="C89" s="5">
        <v>46195.0</v>
      </c>
      <c r="D89" s="5">
        <v>46265.0</v>
      </c>
    </row>
    <row r="90">
      <c r="A90" s="4" t="s">
        <v>270</v>
      </c>
      <c r="B90" s="5">
        <v>46198.0</v>
      </c>
      <c r="C90" s="5">
        <v>46198.0</v>
      </c>
      <c r="D90" s="5">
        <v>46265.0</v>
      </c>
    </row>
    <row r="91">
      <c r="A91" s="4" t="s">
        <v>272</v>
      </c>
      <c r="B91" s="5">
        <v>46202.0</v>
      </c>
      <c r="C91" s="5">
        <v>46202.0</v>
      </c>
      <c r="D91" s="5">
        <v>46265.0</v>
      </c>
    </row>
    <row r="92">
      <c r="A92" s="4" t="s">
        <v>273</v>
      </c>
      <c r="B92" s="5">
        <v>46224.0</v>
      </c>
      <c r="C92" s="5">
        <v>46224.0</v>
      </c>
      <c r="D92" s="5">
        <v>46265.0</v>
      </c>
    </row>
    <row r="93">
      <c r="A93" s="4" t="s">
        <v>274</v>
      </c>
      <c r="B93" s="5">
        <v>46239.0</v>
      </c>
      <c r="C93" s="5">
        <v>46239.0</v>
      </c>
      <c r="D93" s="5">
        <v>46265.0</v>
      </c>
    </row>
    <row r="94">
      <c r="A94" s="4" t="s">
        <v>275</v>
      </c>
      <c r="B94" s="5">
        <v>46240.0</v>
      </c>
      <c r="C94" s="5">
        <v>46240.0</v>
      </c>
      <c r="D94" s="5">
        <v>46265.0</v>
      </c>
    </row>
    <row r="95">
      <c r="A95" s="4" t="s">
        <v>277</v>
      </c>
      <c r="B95" s="5">
        <v>46239.0</v>
      </c>
      <c r="C95" s="5">
        <v>46239.0</v>
      </c>
      <c r="D95" s="5">
        <v>46265.0</v>
      </c>
    </row>
    <row r="96">
      <c r="A96" s="4" t="s">
        <v>278</v>
      </c>
      <c r="B96" s="5">
        <v>46239.0</v>
      </c>
      <c r="C96" s="5">
        <v>46239.0</v>
      </c>
      <c r="D96" s="5">
        <v>46265.0</v>
      </c>
    </row>
    <row r="97">
      <c r="A97" s="4" t="s">
        <v>280</v>
      </c>
      <c r="B97" s="5">
        <v>46240.0</v>
      </c>
      <c r="C97" s="5">
        <v>46240.0</v>
      </c>
      <c r="D97" s="5">
        <v>46265.0</v>
      </c>
    </row>
    <row r="98">
      <c r="A98" s="4" t="s">
        <v>281</v>
      </c>
      <c r="B98" s="5">
        <v>46242.0</v>
      </c>
      <c r="C98" s="5">
        <v>46242.0</v>
      </c>
      <c r="D98" s="5">
        <v>46265.0</v>
      </c>
    </row>
    <row r="99">
      <c r="A99" s="4" t="s">
        <v>282</v>
      </c>
      <c r="B99" s="5">
        <v>46247.0</v>
      </c>
      <c r="C99" s="5">
        <v>46247.0</v>
      </c>
      <c r="D99" s="5">
        <v>46265.0</v>
      </c>
    </row>
    <row r="100">
      <c r="A100" s="4" t="s">
        <v>286</v>
      </c>
      <c r="B100" s="5">
        <v>46258.0</v>
      </c>
      <c r="C100" s="5">
        <v>46258.0</v>
      </c>
      <c r="D100" s="5">
        <v>46265.0</v>
      </c>
    </row>
    <row r="101">
      <c r="A101" s="4" t="s">
        <v>287</v>
      </c>
      <c r="B101" s="5">
        <v>46256.0</v>
      </c>
      <c r="C101" s="5">
        <v>46256.0</v>
      </c>
      <c r="D101" s="5">
        <v>46265.0</v>
      </c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31.13"/>
    <col customWidth="1" min="3" max="3" width="16.38"/>
    <col customWidth="1" min="4" max="4" width="36.5"/>
    <col customWidth="1" min="5" max="5" width="19.75"/>
    <col customWidth="1" min="6" max="6" width="15.5"/>
  </cols>
  <sheetData>
    <row r="1">
      <c r="A1" s="34" t="s">
        <v>770</v>
      </c>
      <c r="B1" s="34" t="s">
        <v>771</v>
      </c>
      <c r="C1" s="34" t="s">
        <v>772</v>
      </c>
      <c r="D1" s="34" t="s">
        <v>774</v>
      </c>
      <c r="E1" s="35" t="s">
        <v>776</v>
      </c>
      <c r="F1" s="35" t="s">
        <v>780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>
      <c r="A2" s="6" t="s">
        <v>361</v>
      </c>
      <c r="B2" s="6" t="s">
        <v>367</v>
      </c>
      <c r="C2" s="6" t="s">
        <v>41</v>
      </c>
      <c r="D2" s="6" t="s">
        <v>787</v>
      </c>
      <c r="E2" s="6" t="s">
        <v>115</v>
      </c>
      <c r="F2" s="6" t="s">
        <v>115</v>
      </c>
    </row>
    <row r="3">
      <c r="A3" s="6" t="s">
        <v>560</v>
      </c>
      <c r="B3" s="6" t="s">
        <v>40</v>
      </c>
      <c r="C3" s="6" t="s">
        <v>789</v>
      </c>
      <c r="D3" s="6" t="s">
        <v>790</v>
      </c>
      <c r="E3" s="6" t="s">
        <v>791</v>
      </c>
      <c r="F3" s="6" t="s">
        <v>791</v>
      </c>
    </row>
    <row r="4">
      <c r="A4" s="6" t="s">
        <v>654</v>
      </c>
      <c r="B4" s="6" t="s">
        <v>657</v>
      </c>
      <c r="C4" s="6" t="s">
        <v>41</v>
      </c>
      <c r="D4" s="6" t="s">
        <v>792</v>
      </c>
      <c r="E4" s="6" t="s">
        <v>793</v>
      </c>
      <c r="F4" s="6" t="s">
        <v>78</v>
      </c>
    </row>
    <row r="5">
      <c r="A5" s="6" t="s">
        <v>769</v>
      </c>
      <c r="B5" s="6" t="s">
        <v>141</v>
      </c>
      <c r="C5" s="6" t="s">
        <v>41</v>
      </c>
      <c r="D5" s="6" t="s">
        <v>794</v>
      </c>
      <c r="E5" s="6" t="s">
        <v>729</v>
      </c>
      <c r="F5" s="6" t="s">
        <v>214</v>
      </c>
    </row>
    <row r="6">
      <c r="A6" s="6" t="s">
        <v>795</v>
      </c>
      <c r="B6" s="6" t="s">
        <v>401</v>
      </c>
      <c r="C6" s="6" t="s">
        <v>41</v>
      </c>
      <c r="D6" s="6" t="s">
        <v>796</v>
      </c>
      <c r="E6" s="6" t="s">
        <v>78</v>
      </c>
      <c r="F6" s="6" t="s">
        <v>78</v>
      </c>
    </row>
    <row r="7">
      <c r="A7" s="6" t="s">
        <v>798</v>
      </c>
      <c r="B7" s="6" t="s">
        <v>20</v>
      </c>
      <c r="C7" s="6" t="s">
        <v>41</v>
      </c>
      <c r="D7" s="6" t="s">
        <v>800</v>
      </c>
      <c r="E7" s="6" t="s">
        <v>801</v>
      </c>
      <c r="F7" s="6" t="s">
        <v>791</v>
      </c>
    </row>
    <row r="8">
      <c r="A8" s="6" t="s">
        <v>803</v>
      </c>
      <c r="B8" s="6" t="s">
        <v>180</v>
      </c>
      <c r="C8" s="6" t="s">
        <v>41</v>
      </c>
      <c r="D8" s="6" t="s">
        <v>804</v>
      </c>
      <c r="E8" s="6" t="s">
        <v>805</v>
      </c>
      <c r="F8" s="6" t="s">
        <v>507</v>
      </c>
    </row>
    <row r="9">
      <c r="A9" s="6" t="s">
        <v>807</v>
      </c>
      <c r="B9" s="6" t="s">
        <v>29</v>
      </c>
      <c r="C9" s="6" t="s">
        <v>41</v>
      </c>
      <c r="D9" s="6" t="s">
        <v>808</v>
      </c>
      <c r="E9" s="6" t="s">
        <v>78</v>
      </c>
      <c r="F9" s="6" t="s">
        <v>78</v>
      </c>
    </row>
    <row r="10">
      <c r="A10" s="6" t="s">
        <v>809</v>
      </c>
      <c r="B10" s="6" t="s">
        <v>267</v>
      </c>
      <c r="C10" s="6" t="s">
        <v>41</v>
      </c>
      <c r="D10" s="6" t="s">
        <v>100</v>
      </c>
      <c r="E10" s="6" t="s">
        <v>100</v>
      </c>
      <c r="F10" s="6" t="s">
        <v>100</v>
      </c>
    </row>
    <row r="11">
      <c r="A11" s="6" t="s">
        <v>810</v>
      </c>
      <c r="B11" s="6" t="s">
        <v>247</v>
      </c>
      <c r="C11" s="6" t="s">
        <v>41</v>
      </c>
      <c r="D11" s="6" t="s">
        <v>811</v>
      </c>
      <c r="E11" s="6" t="s">
        <v>214</v>
      </c>
      <c r="F11" s="6" t="s">
        <v>214</v>
      </c>
    </row>
    <row r="12">
      <c r="A12" s="6" t="s">
        <v>812</v>
      </c>
      <c r="B12" s="6" t="s">
        <v>45</v>
      </c>
      <c r="C12" s="6" t="s">
        <v>789</v>
      </c>
      <c r="D12" s="6" t="s">
        <v>790</v>
      </c>
      <c r="E12" s="6" t="s">
        <v>791</v>
      </c>
      <c r="F12" s="6" t="s">
        <v>791</v>
      </c>
    </row>
    <row r="13">
      <c r="A13" s="6" t="s">
        <v>815</v>
      </c>
      <c r="B13" s="6" t="s">
        <v>190</v>
      </c>
      <c r="C13" s="6" t="s">
        <v>41</v>
      </c>
      <c r="D13" s="6" t="s">
        <v>817</v>
      </c>
      <c r="E13" s="6" t="s">
        <v>818</v>
      </c>
      <c r="F13" s="6" t="s">
        <v>126</v>
      </c>
    </row>
    <row r="14">
      <c r="A14" s="6" t="s">
        <v>820</v>
      </c>
      <c r="B14" s="6" t="s">
        <v>213</v>
      </c>
      <c r="C14" s="6" t="s">
        <v>789</v>
      </c>
      <c r="D14" s="6" t="s">
        <v>821</v>
      </c>
      <c r="E14" s="6" t="s">
        <v>126</v>
      </c>
      <c r="F14" s="6" t="s">
        <v>126</v>
      </c>
    </row>
    <row r="15">
      <c r="A15" s="6" t="s">
        <v>822</v>
      </c>
      <c r="B15" s="6" t="s">
        <v>274</v>
      </c>
      <c r="C15" s="6" t="s">
        <v>789</v>
      </c>
      <c r="D15" s="6" t="s">
        <v>821</v>
      </c>
      <c r="E15" s="6" t="s">
        <v>126</v>
      </c>
      <c r="F15" s="6" t="s">
        <v>126</v>
      </c>
    </row>
    <row r="16">
      <c r="A16" s="6" t="s">
        <v>825</v>
      </c>
      <c r="B16" s="6" t="s">
        <v>280</v>
      </c>
      <c r="C16" s="6" t="s">
        <v>41</v>
      </c>
      <c r="D16" s="6" t="s">
        <v>826</v>
      </c>
      <c r="E16" s="6" t="s">
        <v>827</v>
      </c>
      <c r="F16" s="6" t="s">
        <v>100</v>
      </c>
    </row>
    <row r="17">
      <c r="A17" s="6" t="s">
        <v>828</v>
      </c>
      <c r="B17" s="6" t="s">
        <v>152</v>
      </c>
      <c r="C17" s="6" t="s">
        <v>41</v>
      </c>
      <c r="D17" s="6" t="s">
        <v>829</v>
      </c>
      <c r="E17" s="6" t="s">
        <v>507</v>
      </c>
      <c r="F17" s="6" t="s">
        <v>507</v>
      </c>
    </row>
    <row r="18">
      <c r="A18" s="6" t="s">
        <v>831</v>
      </c>
      <c r="B18" s="6" t="s">
        <v>376</v>
      </c>
      <c r="C18" s="6" t="s">
        <v>41</v>
      </c>
      <c r="D18" s="6" t="s">
        <v>832</v>
      </c>
      <c r="E18" s="6" t="s">
        <v>729</v>
      </c>
      <c r="F18" s="6" t="s">
        <v>214</v>
      </c>
    </row>
    <row r="19">
      <c r="A19" s="6" t="s">
        <v>835</v>
      </c>
      <c r="B19" s="6" t="s">
        <v>135</v>
      </c>
      <c r="C19" s="6" t="s">
        <v>41</v>
      </c>
      <c r="D19" s="6" t="s">
        <v>836</v>
      </c>
      <c r="E19" s="6" t="s">
        <v>100</v>
      </c>
      <c r="F19" s="6" t="s">
        <v>100</v>
      </c>
    </row>
    <row r="20">
      <c r="A20" s="6" t="s">
        <v>838</v>
      </c>
      <c r="B20" s="6" t="s">
        <v>210</v>
      </c>
      <c r="C20" s="6" t="s">
        <v>789</v>
      </c>
      <c r="D20" s="6" t="s">
        <v>839</v>
      </c>
      <c r="E20" s="6" t="s">
        <v>205</v>
      </c>
      <c r="F20" s="6" t="s">
        <v>205</v>
      </c>
    </row>
    <row r="21">
      <c r="A21" s="6" t="s">
        <v>840</v>
      </c>
      <c r="B21" s="6" t="s">
        <v>187</v>
      </c>
      <c r="C21" s="6" t="s">
        <v>41</v>
      </c>
      <c r="D21" s="6" t="s">
        <v>841</v>
      </c>
      <c r="E21" s="6" t="s">
        <v>78</v>
      </c>
      <c r="F21" s="6" t="s">
        <v>78</v>
      </c>
    </row>
    <row r="22">
      <c r="A22" s="6" t="s">
        <v>842</v>
      </c>
      <c r="B22" s="6" t="s">
        <v>142</v>
      </c>
      <c r="C22" s="6" t="s">
        <v>41</v>
      </c>
      <c r="D22" s="6" t="s">
        <v>843</v>
      </c>
      <c r="E22" s="6" t="s">
        <v>844</v>
      </c>
      <c r="F22" s="6" t="s">
        <v>115</v>
      </c>
    </row>
    <row r="23">
      <c r="A23" s="6" t="s">
        <v>845</v>
      </c>
      <c r="B23" s="6" t="s">
        <v>287</v>
      </c>
      <c r="C23" s="6" t="s">
        <v>41</v>
      </c>
      <c r="D23" s="6" t="s">
        <v>847</v>
      </c>
      <c r="E23" s="6" t="s">
        <v>108</v>
      </c>
      <c r="F23" s="6" t="s">
        <v>108</v>
      </c>
    </row>
    <row r="24">
      <c r="A24" s="6" t="s">
        <v>849</v>
      </c>
      <c r="B24" s="6" t="s">
        <v>428</v>
      </c>
      <c r="C24" s="6" t="s">
        <v>41</v>
      </c>
      <c r="D24" s="6" t="s">
        <v>851</v>
      </c>
      <c r="E24" s="6" t="s">
        <v>852</v>
      </c>
      <c r="F24" s="6" t="s">
        <v>214</v>
      </c>
    </row>
    <row r="25">
      <c r="A25" s="6" t="s">
        <v>854</v>
      </c>
      <c r="B25" s="6" t="s">
        <v>855</v>
      </c>
      <c r="C25" s="6" t="s">
        <v>41</v>
      </c>
      <c r="D25" s="6" t="s">
        <v>856</v>
      </c>
      <c r="E25" s="6" t="s">
        <v>857</v>
      </c>
      <c r="F25" s="6" t="s">
        <v>214</v>
      </c>
    </row>
    <row r="26">
      <c r="A26" s="6" t="s">
        <v>859</v>
      </c>
      <c r="B26" s="6" t="s">
        <v>67</v>
      </c>
      <c r="C26" s="6" t="s">
        <v>41</v>
      </c>
      <c r="D26" s="6" t="s">
        <v>860</v>
      </c>
      <c r="E26" s="6" t="s">
        <v>205</v>
      </c>
      <c r="F26" s="6" t="s">
        <v>205</v>
      </c>
    </row>
    <row r="27">
      <c r="A27" s="6" t="s">
        <v>862</v>
      </c>
      <c r="B27" s="6" t="s">
        <v>74</v>
      </c>
      <c r="C27" s="6" t="s">
        <v>41</v>
      </c>
      <c r="D27" s="6" t="s">
        <v>863</v>
      </c>
      <c r="E27" s="6" t="s">
        <v>864</v>
      </c>
      <c r="F27" s="6" t="s">
        <v>115</v>
      </c>
    </row>
    <row r="28">
      <c r="A28" s="6" t="s">
        <v>865</v>
      </c>
      <c r="B28" s="6" t="s">
        <v>35</v>
      </c>
      <c r="C28" s="6" t="s">
        <v>41</v>
      </c>
      <c r="D28" s="6" t="s">
        <v>866</v>
      </c>
      <c r="E28" s="6" t="s">
        <v>126</v>
      </c>
      <c r="F28" s="6" t="s">
        <v>126</v>
      </c>
    </row>
    <row r="29">
      <c r="A29" s="6" t="s">
        <v>869</v>
      </c>
      <c r="B29" s="6" t="s">
        <v>870</v>
      </c>
      <c r="C29" s="6" t="s">
        <v>704</v>
      </c>
      <c r="D29" s="6" t="s">
        <v>871</v>
      </c>
      <c r="E29" s="6" t="s">
        <v>873</v>
      </c>
      <c r="F29" s="6" t="s">
        <v>126</v>
      </c>
    </row>
    <row r="30">
      <c r="A30" s="6" t="s">
        <v>875</v>
      </c>
      <c r="B30" s="6" t="s">
        <v>242</v>
      </c>
      <c r="C30" s="6" t="s">
        <v>41</v>
      </c>
      <c r="D30" s="6" t="s">
        <v>876</v>
      </c>
      <c r="E30" s="6" t="s">
        <v>507</v>
      </c>
      <c r="F30" s="6" t="s">
        <v>507</v>
      </c>
    </row>
    <row r="31">
      <c r="A31" s="6" t="s">
        <v>878</v>
      </c>
      <c r="B31" s="6" t="s">
        <v>879</v>
      </c>
      <c r="C31" s="6" t="s">
        <v>41</v>
      </c>
      <c r="D31" s="6" t="s">
        <v>880</v>
      </c>
      <c r="E31" s="6" t="s">
        <v>214</v>
      </c>
      <c r="F31" s="6" t="s">
        <v>214</v>
      </c>
    </row>
    <row r="32">
      <c r="A32" s="6" t="s">
        <v>881</v>
      </c>
      <c r="B32" s="6" t="s">
        <v>85</v>
      </c>
      <c r="C32" s="6" t="s">
        <v>41</v>
      </c>
      <c r="D32" s="6" t="s">
        <v>882</v>
      </c>
      <c r="E32" s="6" t="s">
        <v>791</v>
      </c>
      <c r="F32" s="6" t="s">
        <v>791</v>
      </c>
    </row>
    <row r="33">
      <c r="A33" s="6" t="s">
        <v>883</v>
      </c>
      <c r="B33" s="6" t="s">
        <v>53</v>
      </c>
      <c r="C33" s="6" t="s">
        <v>789</v>
      </c>
      <c r="D33" s="6" t="s">
        <v>884</v>
      </c>
      <c r="E33" s="6" t="s">
        <v>126</v>
      </c>
      <c r="F33" s="6" t="s">
        <v>126</v>
      </c>
    </row>
    <row r="34">
      <c r="A34" s="6" t="s">
        <v>885</v>
      </c>
      <c r="B34" s="6" t="s">
        <v>243</v>
      </c>
      <c r="C34" s="6" t="s">
        <v>41</v>
      </c>
      <c r="D34" s="6" t="s">
        <v>887</v>
      </c>
      <c r="E34" s="6" t="s">
        <v>100</v>
      </c>
      <c r="F34" s="6" t="s">
        <v>100</v>
      </c>
    </row>
    <row r="35">
      <c r="A35" s="6" t="s">
        <v>889</v>
      </c>
      <c r="B35" s="6" t="s">
        <v>166</v>
      </c>
      <c r="C35" s="6" t="s">
        <v>41</v>
      </c>
      <c r="D35" s="6" t="s">
        <v>891</v>
      </c>
      <c r="E35" s="6" t="s">
        <v>892</v>
      </c>
      <c r="F35" s="6" t="s">
        <v>115</v>
      </c>
    </row>
    <row r="36">
      <c r="A36" s="6" t="s">
        <v>894</v>
      </c>
      <c r="B36" s="6" t="s">
        <v>261</v>
      </c>
      <c r="C36" s="6" t="s">
        <v>704</v>
      </c>
      <c r="D36" s="6" t="s">
        <v>895</v>
      </c>
      <c r="E36" s="6" t="s">
        <v>239</v>
      </c>
      <c r="F36" s="6" t="s">
        <v>239</v>
      </c>
    </row>
    <row r="37">
      <c r="A37" s="6" t="s">
        <v>897</v>
      </c>
      <c r="B37" s="6" t="s">
        <v>272</v>
      </c>
      <c r="C37" s="6" t="s">
        <v>41</v>
      </c>
      <c r="D37" s="6" t="s">
        <v>898</v>
      </c>
      <c r="E37" s="6" t="s">
        <v>844</v>
      </c>
      <c r="F37" s="6" t="s">
        <v>115</v>
      </c>
    </row>
    <row r="38">
      <c r="A38" s="6" t="s">
        <v>899</v>
      </c>
      <c r="B38" s="6" t="s">
        <v>275</v>
      </c>
      <c r="C38" s="6" t="s">
        <v>41</v>
      </c>
      <c r="D38" s="6" t="s">
        <v>900</v>
      </c>
      <c r="E38" s="6" t="s">
        <v>901</v>
      </c>
      <c r="F38" s="6" t="s">
        <v>126</v>
      </c>
    </row>
    <row r="39">
      <c r="A39" s="6" t="s">
        <v>902</v>
      </c>
      <c r="B39" s="6" t="s">
        <v>64</v>
      </c>
      <c r="C39" s="6" t="s">
        <v>41</v>
      </c>
      <c r="D39" s="6" t="s">
        <v>903</v>
      </c>
      <c r="E39" s="6" t="s">
        <v>108</v>
      </c>
      <c r="F39" s="6" t="s">
        <v>108</v>
      </c>
    </row>
    <row r="40">
      <c r="A40" s="6" t="s">
        <v>905</v>
      </c>
      <c r="B40" s="6" t="s">
        <v>33</v>
      </c>
      <c r="C40" s="6" t="s">
        <v>41</v>
      </c>
      <c r="D40" s="6" t="s">
        <v>907</v>
      </c>
      <c r="E40" s="6" t="s">
        <v>115</v>
      </c>
      <c r="F40" s="6" t="s">
        <v>115</v>
      </c>
    </row>
    <row r="41">
      <c r="A41" s="6" t="s">
        <v>909</v>
      </c>
      <c r="B41" s="6" t="s">
        <v>55</v>
      </c>
      <c r="C41" s="6" t="s">
        <v>41</v>
      </c>
      <c r="D41" s="6" t="s">
        <v>911</v>
      </c>
      <c r="E41" s="6" t="s">
        <v>78</v>
      </c>
      <c r="F41" s="6" t="s">
        <v>78</v>
      </c>
    </row>
    <row r="42">
      <c r="A42" s="6" t="s">
        <v>913</v>
      </c>
      <c r="B42" s="6" t="s">
        <v>687</v>
      </c>
      <c r="C42" s="6" t="s">
        <v>41</v>
      </c>
      <c r="D42" s="6" t="s">
        <v>914</v>
      </c>
      <c r="E42" s="6" t="s">
        <v>844</v>
      </c>
      <c r="F42" s="6" t="s">
        <v>115</v>
      </c>
    </row>
    <row r="43">
      <c r="A43" s="6" t="s">
        <v>916</v>
      </c>
      <c r="B43" s="6" t="s">
        <v>183</v>
      </c>
      <c r="C43" s="6" t="s">
        <v>41</v>
      </c>
      <c r="D43" s="6" t="s">
        <v>917</v>
      </c>
      <c r="E43" s="6" t="s">
        <v>205</v>
      </c>
      <c r="F43" s="6" t="s">
        <v>205</v>
      </c>
    </row>
    <row r="44">
      <c r="A44" s="6" t="s">
        <v>918</v>
      </c>
      <c r="B44" s="6" t="s">
        <v>278</v>
      </c>
      <c r="C44" s="6" t="s">
        <v>789</v>
      </c>
      <c r="D44" s="6" t="s">
        <v>919</v>
      </c>
      <c r="E44" s="6" t="s">
        <v>126</v>
      </c>
      <c r="F44" s="6" t="s">
        <v>126</v>
      </c>
    </row>
    <row r="45">
      <c r="A45" s="6" t="s">
        <v>920</v>
      </c>
      <c r="B45" s="6" t="s">
        <v>70</v>
      </c>
      <c r="C45" s="6" t="s">
        <v>41</v>
      </c>
      <c r="D45" s="6" t="s">
        <v>921</v>
      </c>
      <c r="E45" s="6" t="s">
        <v>922</v>
      </c>
      <c r="F45" s="6" t="s">
        <v>78</v>
      </c>
    </row>
    <row r="46">
      <c r="A46" s="6" t="s">
        <v>924</v>
      </c>
      <c r="B46" s="6" t="s">
        <v>52</v>
      </c>
      <c r="C46" s="6" t="s">
        <v>41</v>
      </c>
      <c r="D46" s="6" t="s">
        <v>926</v>
      </c>
      <c r="E46" s="6" t="s">
        <v>214</v>
      </c>
      <c r="F46" s="6" t="s">
        <v>214</v>
      </c>
    </row>
    <row r="47">
      <c r="A47" s="6" t="s">
        <v>928</v>
      </c>
      <c r="B47" s="6" t="s">
        <v>188</v>
      </c>
      <c r="C47" s="6" t="s">
        <v>41</v>
      </c>
      <c r="D47" s="6" t="s">
        <v>930</v>
      </c>
      <c r="E47" s="6" t="s">
        <v>931</v>
      </c>
      <c r="F47" s="6" t="s">
        <v>126</v>
      </c>
    </row>
    <row r="48">
      <c r="A48" s="6" t="s">
        <v>933</v>
      </c>
      <c r="B48" s="6" t="s">
        <v>258</v>
      </c>
      <c r="C48" s="6" t="s">
        <v>41</v>
      </c>
      <c r="D48" s="6" t="s">
        <v>934</v>
      </c>
      <c r="E48" s="6" t="s">
        <v>936</v>
      </c>
      <c r="F48" s="6" t="s">
        <v>659</v>
      </c>
    </row>
    <row r="49">
      <c r="A49" s="6" t="s">
        <v>937</v>
      </c>
      <c r="B49" s="6" t="s">
        <v>129</v>
      </c>
      <c r="C49" s="6" t="s">
        <v>41</v>
      </c>
      <c r="D49" s="6" t="s">
        <v>938</v>
      </c>
      <c r="E49" s="6" t="s">
        <v>939</v>
      </c>
      <c r="F49" s="6" t="s">
        <v>108</v>
      </c>
    </row>
    <row r="50">
      <c r="A50" s="6" t="s">
        <v>940</v>
      </c>
      <c r="B50" s="6" t="s">
        <v>273</v>
      </c>
      <c r="C50" s="6" t="s">
        <v>41</v>
      </c>
      <c r="D50" s="6" t="s">
        <v>941</v>
      </c>
      <c r="E50" s="6" t="s">
        <v>729</v>
      </c>
      <c r="F50" s="6" t="s">
        <v>214</v>
      </c>
    </row>
    <row r="51">
      <c r="A51" s="6" t="s">
        <v>942</v>
      </c>
      <c r="B51" s="6" t="s">
        <v>38</v>
      </c>
      <c r="C51" s="6" t="s">
        <v>41</v>
      </c>
      <c r="D51" s="6" t="s">
        <v>944</v>
      </c>
      <c r="E51" s="6" t="s">
        <v>827</v>
      </c>
      <c r="F51" s="6" t="s">
        <v>100</v>
      </c>
    </row>
    <row r="52">
      <c r="A52" s="6" t="s">
        <v>946</v>
      </c>
      <c r="B52" s="6" t="s">
        <v>89</v>
      </c>
      <c r="C52" s="6" t="s">
        <v>41</v>
      </c>
      <c r="D52" s="6" t="s">
        <v>808</v>
      </c>
      <c r="E52" s="6" t="s">
        <v>78</v>
      </c>
      <c r="F52" s="6" t="s">
        <v>78</v>
      </c>
    </row>
    <row r="53">
      <c r="A53" s="6" t="s">
        <v>949</v>
      </c>
      <c r="B53" s="6" t="s">
        <v>405</v>
      </c>
      <c r="C53" s="6" t="s">
        <v>41</v>
      </c>
      <c r="D53" s="6" t="s">
        <v>950</v>
      </c>
      <c r="E53" s="6" t="s">
        <v>951</v>
      </c>
      <c r="F53" s="6" t="s">
        <v>126</v>
      </c>
    </row>
    <row r="54">
      <c r="A54" s="6" t="s">
        <v>952</v>
      </c>
      <c r="B54" s="6" t="s">
        <v>277</v>
      </c>
      <c r="C54" s="6" t="s">
        <v>789</v>
      </c>
      <c r="D54" s="6" t="s">
        <v>839</v>
      </c>
      <c r="E54" s="6" t="s">
        <v>205</v>
      </c>
      <c r="F54" s="6" t="s">
        <v>205</v>
      </c>
    </row>
    <row r="55">
      <c r="A55" s="6" t="s">
        <v>954</v>
      </c>
      <c r="B55" s="6" t="s">
        <v>519</v>
      </c>
      <c r="C55" s="6" t="s">
        <v>41</v>
      </c>
      <c r="D55" s="6" t="s">
        <v>955</v>
      </c>
      <c r="E55" s="6" t="s">
        <v>458</v>
      </c>
      <c r="F55" s="6" t="s">
        <v>239</v>
      </c>
    </row>
    <row r="56">
      <c r="A56" s="6" t="s">
        <v>956</v>
      </c>
      <c r="B56" s="6" t="s">
        <v>98</v>
      </c>
      <c r="C56" s="6" t="s">
        <v>41</v>
      </c>
      <c r="D56" s="6" t="s">
        <v>957</v>
      </c>
      <c r="E56" s="6" t="s">
        <v>100</v>
      </c>
      <c r="F56" s="6" t="s">
        <v>100</v>
      </c>
    </row>
    <row r="57">
      <c r="A57" s="6" t="s">
        <v>958</v>
      </c>
      <c r="B57" s="6" t="s">
        <v>218</v>
      </c>
      <c r="C57" s="6" t="s">
        <v>41</v>
      </c>
      <c r="D57" s="6" t="s">
        <v>959</v>
      </c>
      <c r="E57" s="6" t="s">
        <v>205</v>
      </c>
      <c r="F57" s="6" t="s">
        <v>205</v>
      </c>
    </row>
    <row r="58">
      <c r="A58" s="6" t="s">
        <v>960</v>
      </c>
      <c r="B58" s="6" t="s">
        <v>194</v>
      </c>
      <c r="C58" s="6" t="s">
        <v>789</v>
      </c>
      <c r="D58" s="6" t="s">
        <v>790</v>
      </c>
      <c r="E58" s="6" t="s">
        <v>791</v>
      </c>
      <c r="F58" s="6" t="s">
        <v>791</v>
      </c>
    </row>
    <row r="59">
      <c r="A59" s="6" t="s">
        <v>964</v>
      </c>
      <c r="B59" s="6" t="s">
        <v>966</v>
      </c>
      <c r="C59" s="6" t="s">
        <v>41</v>
      </c>
      <c r="D59" s="6" t="s">
        <v>967</v>
      </c>
      <c r="E59" s="6" t="s">
        <v>827</v>
      </c>
      <c r="F59" s="6" t="s">
        <v>100</v>
      </c>
    </row>
    <row r="60">
      <c r="A60" s="6" t="s">
        <v>969</v>
      </c>
      <c r="B60" s="6" t="s">
        <v>146</v>
      </c>
      <c r="C60" s="6" t="s">
        <v>41</v>
      </c>
      <c r="D60" s="6" t="s">
        <v>970</v>
      </c>
      <c r="E60" s="6" t="s">
        <v>78</v>
      </c>
      <c r="F60" s="6" t="s">
        <v>78</v>
      </c>
    </row>
    <row r="61">
      <c r="A61" s="6" t="s">
        <v>972</v>
      </c>
      <c r="B61" s="6" t="s">
        <v>973</v>
      </c>
      <c r="C61" s="6" t="s">
        <v>41</v>
      </c>
      <c r="D61" s="6" t="s">
        <v>974</v>
      </c>
      <c r="E61" s="6" t="s">
        <v>975</v>
      </c>
      <c r="F61" s="6" t="s">
        <v>205</v>
      </c>
    </row>
    <row r="62">
      <c r="A62" s="6" t="s">
        <v>976</v>
      </c>
      <c r="B62" s="6" t="s">
        <v>217</v>
      </c>
      <c r="C62" s="6" t="s">
        <v>41</v>
      </c>
      <c r="D62" s="6" t="s">
        <v>977</v>
      </c>
      <c r="E62" s="6" t="s">
        <v>791</v>
      </c>
      <c r="F62" s="6" t="s">
        <v>791</v>
      </c>
    </row>
    <row r="63">
      <c r="A63" s="6" t="s">
        <v>978</v>
      </c>
      <c r="B63" s="6" t="s">
        <v>202</v>
      </c>
      <c r="C63" s="6" t="s">
        <v>789</v>
      </c>
      <c r="D63" s="6" t="s">
        <v>979</v>
      </c>
      <c r="E63" s="6" t="s">
        <v>980</v>
      </c>
      <c r="F63" s="6" t="s">
        <v>126</v>
      </c>
    </row>
    <row r="64">
      <c r="A64" s="6" t="s">
        <v>981</v>
      </c>
      <c r="B64" s="6" t="s">
        <v>235</v>
      </c>
      <c r="C64" s="6" t="s">
        <v>41</v>
      </c>
      <c r="D64" s="6" t="s">
        <v>982</v>
      </c>
      <c r="E64" s="6" t="s">
        <v>126</v>
      </c>
      <c r="F64" s="6" t="s">
        <v>126</v>
      </c>
    </row>
    <row r="65">
      <c r="A65" s="6" t="s">
        <v>983</v>
      </c>
      <c r="B65" s="6" t="s">
        <v>193</v>
      </c>
      <c r="C65" s="6" t="s">
        <v>984</v>
      </c>
      <c r="D65" s="6" t="s">
        <v>985</v>
      </c>
      <c r="E65" s="6" t="s">
        <v>777</v>
      </c>
      <c r="F65" s="6" t="s">
        <v>108</v>
      </c>
    </row>
    <row r="66">
      <c r="A66" s="6" t="s">
        <v>989</v>
      </c>
      <c r="B66" s="6" t="s">
        <v>186</v>
      </c>
      <c r="C66" s="6" t="s">
        <v>41</v>
      </c>
      <c r="D66" s="6" t="s">
        <v>990</v>
      </c>
      <c r="E66" s="6" t="s">
        <v>115</v>
      </c>
      <c r="F66" s="6" t="s">
        <v>115</v>
      </c>
    </row>
    <row r="67">
      <c r="A67" s="6" t="s">
        <v>992</v>
      </c>
      <c r="B67" s="6" t="s">
        <v>476</v>
      </c>
      <c r="C67" s="6" t="s">
        <v>41</v>
      </c>
      <c r="D67" s="6" t="s">
        <v>994</v>
      </c>
      <c r="E67" s="6" t="s">
        <v>115</v>
      </c>
      <c r="F67" s="6" t="s">
        <v>115</v>
      </c>
    </row>
    <row r="68">
      <c r="A68" s="6" t="s">
        <v>995</v>
      </c>
      <c r="B68" s="6" t="s">
        <v>346</v>
      </c>
      <c r="C68" s="6" t="s">
        <v>41</v>
      </c>
      <c r="D68" s="6" t="s">
        <v>997</v>
      </c>
      <c r="E68" s="6" t="s">
        <v>239</v>
      </c>
      <c r="F68" s="6" t="s">
        <v>239</v>
      </c>
    </row>
    <row r="69">
      <c r="A69" s="6" t="s">
        <v>998</v>
      </c>
      <c r="B69" s="6" t="s">
        <v>119</v>
      </c>
      <c r="C69" s="6" t="s">
        <v>41</v>
      </c>
      <c r="D69" s="6" t="s">
        <v>900</v>
      </c>
      <c r="E69" s="6" t="s">
        <v>901</v>
      </c>
      <c r="F69" s="6" t="s">
        <v>126</v>
      </c>
    </row>
    <row r="70">
      <c r="A70" s="6" t="s">
        <v>1001</v>
      </c>
      <c r="B70" s="6" t="s">
        <v>743</v>
      </c>
      <c r="C70" s="6" t="s">
        <v>704</v>
      </c>
      <c r="D70" s="6" t="s">
        <v>1003</v>
      </c>
      <c r="E70" s="6" t="s">
        <v>791</v>
      </c>
      <c r="F70" s="6" t="s">
        <v>791</v>
      </c>
    </row>
    <row r="71">
      <c r="A71" s="6" t="s">
        <v>1005</v>
      </c>
      <c r="B71" s="6" t="s">
        <v>204</v>
      </c>
      <c r="C71" s="6" t="s">
        <v>41</v>
      </c>
      <c r="D71" s="6" t="s">
        <v>1006</v>
      </c>
      <c r="E71" s="6" t="s">
        <v>1007</v>
      </c>
      <c r="F71" s="6" t="s">
        <v>214</v>
      </c>
    </row>
    <row r="72">
      <c r="A72" s="6" t="s">
        <v>1008</v>
      </c>
      <c r="B72" s="6" t="s">
        <v>439</v>
      </c>
      <c r="C72" s="6" t="s">
        <v>41</v>
      </c>
      <c r="D72" s="6" t="s">
        <v>1010</v>
      </c>
      <c r="E72" s="6" t="s">
        <v>844</v>
      </c>
      <c r="F72" s="6" t="s">
        <v>115</v>
      </c>
    </row>
    <row r="73">
      <c r="A73" s="6" t="s">
        <v>1011</v>
      </c>
      <c r="B73" s="6" t="s">
        <v>578</v>
      </c>
      <c r="C73" s="6" t="s">
        <v>789</v>
      </c>
      <c r="D73" s="6" t="s">
        <v>1012</v>
      </c>
      <c r="E73" s="6" t="s">
        <v>126</v>
      </c>
      <c r="F73" s="6" t="s">
        <v>126</v>
      </c>
    </row>
    <row r="74">
      <c r="A74" s="6" t="s">
        <v>1013</v>
      </c>
      <c r="B74" s="6" t="s">
        <v>270</v>
      </c>
      <c r="C74" s="6" t="s">
        <v>41</v>
      </c>
      <c r="D74" s="6" t="s">
        <v>1014</v>
      </c>
      <c r="E74" s="6" t="s">
        <v>100</v>
      </c>
      <c r="F74" s="6" t="s">
        <v>100</v>
      </c>
    </row>
    <row r="75">
      <c r="A75" s="6" t="s">
        <v>1015</v>
      </c>
      <c r="B75" s="6" t="s">
        <v>276</v>
      </c>
      <c r="C75" s="6" t="s">
        <v>789</v>
      </c>
      <c r="D75" s="6" t="s">
        <v>884</v>
      </c>
      <c r="E75" s="6" t="s">
        <v>126</v>
      </c>
      <c r="F75" s="6" t="s">
        <v>126</v>
      </c>
    </row>
    <row r="76">
      <c r="A76" s="6" t="s">
        <v>1017</v>
      </c>
      <c r="B76" s="6" t="s">
        <v>215</v>
      </c>
      <c r="C76" s="6" t="s">
        <v>41</v>
      </c>
      <c r="D76" s="6" t="s">
        <v>1018</v>
      </c>
      <c r="E76" s="6" t="s">
        <v>205</v>
      </c>
      <c r="F76" s="6" t="s">
        <v>205</v>
      </c>
    </row>
    <row r="77">
      <c r="A77" s="6" t="s">
        <v>1019</v>
      </c>
      <c r="B77" s="6" t="s">
        <v>472</v>
      </c>
      <c r="C77" s="6" t="s">
        <v>41</v>
      </c>
      <c r="D77" s="6" t="s">
        <v>1021</v>
      </c>
      <c r="E77" s="6" t="s">
        <v>1022</v>
      </c>
      <c r="F77" s="6" t="s">
        <v>78</v>
      </c>
    </row>
    <row r="78">
      <c r="A78" s="6" t="s">
        <v>1024</v>
      </c>
      <c r="B78" s="6" t="s">
        <v>225</v>
      </c>
      <c r="C78" s="6" t="s">
        <v>704</v>
      </c>
      <c r="D78" s="6" t="s">
        <v>1025</v>
      </c>
      <c r="E78" s="6" t="s">
        <v>791</v>
      </c>
      <c r="F78" s="6" t="s">
        <v>791</v>
      </c>
    </row>
    <row r="79">
      <c r="A79" s="6" t="s">
        <v>1026</v>
      </c>
      <c r="B79" s="6" t="s">
        <v>1027</v>
      </c>
      <c r="C79" s="6" t="s">
        <v>1028</v>
      </c>
      <c r="D79" s="6" t="s">
        <v>1029</v>
      </c>
      <c r="E79" s="6" t="s">
        <v>791</v>
      </c>
      <c r="F79" s="6" t="s">
        <v>791</v>
      </c>
    </row>
    <row r="80">
      <c r="A80" s="6" t="s">
        <v>1031</v>
      </c>
      <c r="B80" s="6" t="s">
        <v>236</v>
      </c>
      <c r="C80" s="6" t="s">
        <v>41</v>
      </c>
      <c r="D80" s="6" t="s">
        <v>1032</v>
      </c>
      <c r="E80" s="6" t="s">
        <v>239</v>
      </c>
      <c r="F80" s="6" t="s">
        <v>239</v>
      </c>
    </row>
    <row r="81">
      <c r="A81" s="6" t="s">
        <v>1033</v>
      </c>
      <c r="B81" s="6" t="s">
        <v>324</v>
      </c>
      <c r="C81" s="6" t="s">
        <v>41</v>
      </c>
      <c r="D81" s="6" t="s">
        <v>1034</v>
      </c>
      <c r="E81" s="6" t="s">
        <v>126</v>
      </c>
      <c r="F81" s="6" t="s">
        <v>126</v>
      </c>
    </row>
    <row r="82">
      <c r="A82" s="6" t="s">
        <v>1035</v>
      </c>
      <c r="B82" s="6" t="s">
        <v>208</v>
      </c>
      <c r="C82" s="6" t="s">
        <v>41</v>
      </c>
      <c r="D82" s="6" t="s">
        <v>1036</v>
      </c>
      <c r="E82" s="6" t="s">
        <v>873</v>
      </c>
      <c r="F82" s="6" t="s">
        <v>126</v>
      </c>
    </row>
    <row r="83">
      <c r="A83" s="6" t="s">
        <v>1037</v>
      </c>
      <c r="B83" s="6" t="s">
        <v>398</v>
      </c>
      <c r="C83" s="6" t="s">
        <v>41</v>
      </c>
      <c r="D83" s="6" t="s">
        <v>911</v>
      </c>
      <c r="E83" s="6" t="s">
        <v>78</v>
      </c>
      <c r="F83" s="6" t="s">
        <v>78</v>
      </c>
    </row>
    <row r="84">
      <c r="A84" s="6" t="s">
        <v>1040</v>
      </c>
      <c r="B84" s="6" t="s">
        <v>255</v>
      </c>
      <c r="C84" s="6" t="s">
        <v>41</v>
      </c>
      <c r="D84" s="6" t="s">
        <v>1041</v>
      </c>
      <c r="E84" s="6" t="s">
        <v>791</v>
      </c>
      <c r="F84" s="6" t="s">
        <v>791</v>
      </c>
    </row>
    <row r="85">
      <c r="A85" s="6" t="s">
        <v>1042</v>
      </c>
      <c r="B85" s="6" t="s">
        <v>171</v>
      </c>
      <c r="C85" s="6" t="s">
        <v>41</v>
      </c>
      <c r="D85" s="6" t="s">
        <v>1044</v>
      </c>
      <c r="E85" s="6" t="s">
        <v>1046</v>
      </c>
      <c r="F85" s="6" t="s">
        <v>126</v>
      </c>
    </row>
    <row r="86">
      <c r="A86" s="6" t="s">
        <v>1047</v>
      </c>
      <c r="B86" s="6" t="s">
        <v>311</v>
      </c>
      <c r="C86" s="6" t="s">
        <v>41</v>
      </c>
      <c r="D86" s="6" t="s">
        <v>1049</v>
      </c>
      <c r="E86" s="6" t="s">
        <v>1050</v>
      </c>
      <c r="F86" s="6" t="s">
        <v>126</v>
      </c>
    </row>
    <row r="87">
      <c r="A87" s="6" t="s">
        <v>1051</v>
      </c>
      <c r="B87" s="6" t="s">
        <v>369</v>
      </c>
      <c r="C87" s="6" t="s">
        <v>41</v>
      </c>
      <c r="D87" s="6" t="s">
        <v>1052</v>
      </c>
      <c r="E87" s="6" t="s">
        <v>126</v>
      </c>
      <c r="F87" s="6" t="s">
        <v>126</v>
      </c>
    </row>
    <row r="88">
      <c r="A88" s="6" t="s">
        <v>1053</v>
      </c>
      <c r="B88" s="6" t="s">
        <v>246</v>
      </c>
      <c r="C88" s="6" t="s">
        <v>41</v>
      </c>
      <c r="D88" s="6" t="s">
        <v>1054</v>
      </c>
      <c r="E88" s="6" t="s">
        <v>214</v>
      </c>
      <c r="F88" s="6" t="s">
        <v>214</v>
      </c>
    </row>
    <row r="89">
      <c r="A89" s="6" t="s">
        <v>1055</v>
      </c>
      <c r="B89" s="6" t="s">
        <v>221</v>
      </c>
      <c r="C89" s="6" t="s">
        <v>789</v>
      </c>
      <c r="D89" s="6" t="s">
        <v>1056</v>
      </c>
      <c r="E89" s="6" t="s">
        <v>901</v>
      </c>
      <c r="F89" s="6" t="s">
        <v>126</v>
      </c>
    </row>
    <row r="90">
      <c r="A90" s="6" t="s">
        <v>1057</v>
      </c>
      <c r="B90" s="6" t="s">
        <v>1058</v>
      </c>
      <c r="C90" s="6" t="s">
        <v>41</v>
      </c>
      <c r="D90" s="6" t="s">
        <v>1059</v>
      </c>
      <c r="E90" s="6" t="s">
        <v>214</v>
      </c>
      <c r="F90" s="6" t="s">
        <v>214</v>
      </c>
    </row>
    <row r="91">
      <c r="A91" s="6" t="s">
        <v>1060</v>
      </c>
      <c r="B91" s="6" t="s">
        <v>415</v>
      </c>
      <c r="C91" s="6" t="s">
        <v>41</v>
      </c>
      <c r="D91" s="6" t="s">
        <v>1062</v>
      </c>
      <c r="E91" s="6" t="s">
        <v>729</v>
      </c>
      <c r="F91" s="6" t="s">
        <v>214</v>
      </c>
    </row>
    <row r="92">
      <c r="A92" s="6" t="s">
        <v>1065</v>
      </c>
      <c r="B92" s="6" t="s">
        <v>304</v>
      </c>
      <c r="C92" s="6" t="s">
        <v>41</v>
      </c>
      <c r="D92" s="6" t="s">
        <v>1066</v>
      </c>
      <c r="E92" s="6" t="s">
        <v>239</v>
      </c>
      <c r="F92" s="6" t="s">
        <v>239</v>
      </c>
    </row>
    <row r="93">
      <c r="A93" s="6" t="s">
        <v>1069</v>
      </c>
      <c r="B93" s="6" t="s">
        <v>229</v>
      </c>
      <c r="C93" s="6" t="s">
        <v>41</v>
      </c>
      <c r="D93" s="6" t="s">
        <v>1071</v>
      </c>
      <c r="E93" s="6" t="s">
        <v>791</v>
      </c>
      <c r="F93" s="6" t="s">
        <v>791</v>
      </c>
    </row>
    <row r="94">
      <c r="A94" s="6" t="s">
        <v>1072</v>
      </c>
      <c r="B94" s="6" t="s">
        <v>144</v>
      </c>
      <c r="C94" s="6" t="s">
        <v>41</v>
      </c>
      <c r="D94" s="6" t="s">
        <v>1073</v>
      </c>
      <c r="E94" s="6" t="s">
        <v>857</v>
      </c>
      <c r="F94" s="6" t="s">
        <v>214</v>
      </c>
    </row>
    <row r="95">
      <c r="A95" s="6" t="s">
        <v>1075</v>
      </c>
      <c r="B95" s="6" t="s">
        <v>318</v>
      </c>
      <c r="C95" s="6" t="s">
        <v>41</v>
      </c>
      <c r="D95" s="6" t="s">
        <v>1078</v>
      </c>
      <c r="E95" s="6" t="s">
        <v>319</v>
      </c>
      <c r="F95" s="6" t="s">
        <v>108</v>
      </c>
    </row>
    <row r="96">
      <c r="A96" s="6" t="s">
        <v>1081</v>
      </c>
      <c r="B96" s="6" t="s">
        <v>384</v>
      </c>
      <c r="C96" s="6" t="s">
        <v>41</v>
      </c>
      <c r="D96" s="6" t="s">
        <v>1085</v>
      </c>
      <c r="E96" s="6" t="s">
        <v>1087</v>
      </c>
      <c r="F96" s="6" t="s">
        <v>214</v>
      </c>
    </row>
    <row r="97">
      <c r="A97" s="6" t="s">
        <v>1091</v>
      </c>
      <c r="B97" s="6" t="s">
        <v>212</v>
      </c>
      <c r="C97" s="6" t="s">
        <v>789</v>
      </c>
      <c r="D97" s="6" t="s">
        <v>919</v>
      </c>
      <c r="E97" s="6" t="s">
        <v>126</v>
      </c>
      <c r="F97" s="6" t="s">
        <v>126</v>
      </c>
    </row>
    <row r="98">
      <c r="A98" s="6" t="s">
        <v>1092</v>
      </c>
      <c r="B98" s="6" t="s">
        <v>233</v>
      </c>
      <c r="C98" s="6" t="s">
        <v>41</v>
      </c>
      <c r="D98" s="6" t="s">
        <v>1093</v>
      </c>
      <c r="E98" s="6" t="s">
        <v>126</v>
      </c>
      <c r="F98" s="6" t="s">
        <v>126</v>
      </c>
    </row>
    <row r="99">
      <c r="A99" s="6" t="s">
        <v>1095</v>
      </c>
      <c r="B99" s="6" t="s">
        <v>1097</v>
      </c>
      <c r="C99" s="6" t="s">
        <v>41</v>
      </c>
      <c r="D99" s="6" t="s">
        <v>1098</v>
      </c>
      <c r="E99" s="6" t="s">
        <v>214</v>
      </c>
      <c r="F99" s="6" t="s">
        <v>214</v>
      </c>
    </row>
    <row r="100">
      <c r="A100" s="6" t="s">
        <v>1100</v>
      </c>
      <c r="B100" s="6" t="s">
        <v>252</v>
      </c>
      <c r="C100" s="6" t="s">
        <v>41</v>
      </c>
      <c r="D100" s="6" t="s">
        <v>1102</v>
      </c>
      <c r="E100" s="6" t="s">
        <v>205</v>
      </c>
      <c r="F100" s="6" t="s">
        <v>205</v>
      </c>
    </row>
    <row r="101">
      <c r="A101" s="6" t="s">
        <v>1104</v>
      </c>
      <c r="B101" s="6" t="s">
        <v>251</v>
      </c>
      <c r="C101" s="6" t="s">
        <v>41</v>
      </c>
      <c r="D101" s="6" t="s">
        <v>1105</v>
      </c>
      <c r="E101" s="6" t="s">
        <v>1106</v>
      </c>
      <c r="F101" s="6" t="s">
        <v>78</v>
      </c>
    </row>
    <row r="102">
      <c r="A102" s="6" t="s">
        <v>1107</v>
      </c>
      <c r="B102" s="6" t="s">
        <v>150</v>
      </c>
      <c r="C102" s="6" t="s">
        <v>41</v>
      </c>
      <c r="D102" s="6" t="s">
        <v>1108</v>
      </c>
      <c r="E102" s="6" t="s">
        <v>1109</v>
      </c>
      <c r="F102" s="6" t="s">
        <v>791</v>
      </c>
    </row>
    <row r="103">
      <c r="A103" s="6" t="s">
        <v>1110</v>
      </c>
      <c r="B103" s="6" t="s">
        <v>125</v>
      </c>
      <c r="C103" s="6" t="s">
        <v>41</v>
      </c>
      <c r="D103" s="6" t="s">
        <v>1111</v>
      </c>
      <c r="E103" s="6" t="s">
        <v>1112</v>
      </c>
      <c r="F103" s="6" t="s">
        <v>205</v>
      </c>
    </row>
    <row r="104">
      <c r="A104" s="6" t="s">
        <v>1114</v>
      </c>
      <c r="B104" s="6" t="s">
        <v>567</v>
      </c>
      <c r="C104" s="6" t="s">
        <v>41</v>
      </c>
      <c r="D104" s="6" t="s">
        <v>1014</v>
      </c>
      <c r="E104" s="6" t="s">
        <v>100</v>
      </c>
      <c r="F104" s="6" t="s">
        <v>100</v>
      </c>
    </row>
    <row r="105">
      <c r="A105" s="6" t="s">
        <v>1116</v>
      </c>
      <c r="B105" s="6" t="s">
        <v>159</v>
      </c>
      <c r="C105" s="6" t="s">
        <v>41</v>
      </c>
      <c r="D105" s="6" t="s">
        <v>1119</v>
      </c>
      <c r="E105" s="6" t="s">
        <v>163</v>
      </c>
      <c r="F105" s="6" t="s">
        <v>659</v>
      </c>
    </row>
    <row r="106">
      <c r="A106" s="6" t="s">
        <v>1120</v>
      </c>
      <c r="B106" s="6" t="s">
        <v>1122</v>
      </c>
      <c r="C106" s="6" t="s">
        <v>41</v>
      </c>
      <c r="D106" s="6" t="s">
        <v>1123</v>
      </c>
      <c r="E106" s="6" t="s">
        <v>827</v>
      </c>
      <c r="F106" s="6" t="s">
        <v>100</v>
      </c>
    </row>
    <row r="107">
      <c r="A107" s="6" t="s">
        <v>1124</v>
      </c>
      <c r="B107" s="6" t="s">
        <v>223</v>
      </c>
      <c r="C107" s="6" t="s">
        <v>41</v>
      </c>
      <c r="D107" s="6" t="s">
        <v>1125</v>
      </c>
      <c r="E107" s="6" t="s">
        <v>163</v>
      </c>
      <c r="F107" s="6" t="s">
        <v>659</v>
      </c>
    </row>
    <row r="108">
      <c r="A108" s="6" t="s">
        <v>1126</v>
      </c>
      <c r="B108" s="6" t="s">
        <v>299</v>
      </c>
      <c r="C108" s="6" t="s">
        <v>41</v>
      </c>
      <c r="D108" s="6" t="s">
        <v>1127</v>
      </c>
      <c r="E108" s="6" t="s">
        <v>100</v>
      </c>
      <c r="F108" s="6" t="s">
        <v>100</v>
      </c>
    </row>
    <row r="109">
      <c r="A109" s="6" t="s">
        <v>1129</v>
      </c>
      <c r="B109" s="6" t="s">
        <v>548</v>
      </c>
      <c r="C109" s="6" t="s">
        <v>41</v>
      </c>
      <c r="D109" s="6" t="s">
        <v>1130</v>
      </c>
      <c r="E109" s="6" t="s">
        <v>1132</v>
      </c>
      <c r="F109" s="6" t="s">
        <v>126</v>
      </c>
    </row>
    <row r="110">
      <c r="A110" s="6" t="s">
        <v>1134</v>
      </c>
      <c r="B110" s="6" t="s">
        <v>238</v>
      </c>
      <c r="C110" s="6" t="s">
        <v>789</v>
      </c>
      <c r="D110" s="6" t="s">
        <v>1136</v>
      </c>
      <c r="E110" s="6" t="s">
        <v>791</v>
      </c>
      <c r="F110" s="6" t="s">
        <v>791</v>
      </c>
    </row>
    <row r="111">
      <c r="A111" s="6" t="s">
        <v>1137</v>
      </c>
      <c r="B111" s="6" t="s">
        <v>1138</v>
      </c>
      <c r="C111" s="6" t="s">
        <v>41</v>
      </c>
      <c r="D111" s="6" t="s">
        <v>1139</v>
      </c>
      <c r="E111" s="6" t="s">
        <v>852</v>
      </c>
      <c r="F111" s="6" t="s">
        <v>214</v>
      </c>
    </row>
    <row r="112">
      <c r="A112" s="6" t="s">
        <v>1140</v>
      </c>
      <c r="B112" s="6" t="s">
        <v>281</v>
      </c>
      <c r="C112" s="6" t="s">
        <v>41</v>
      </c>
      <c r="D112" s="6" t="s">
        <v>1141</v>
      </c>
      <c r="E112" s="6" t="s">
        <v>100</v>
      </c>
      <c r="F112" s="6" t="s">
        <v>100</v>
      </c>
    </row>
    <row r="113">
      <c r="A113" s="6" t="s">
        <v>1144</v>
      </c>
      <c r="B113" s="6" t="s">
        <v>393</v>
      </c>
      <c r="C113" s="6" t="s">
        <v>41</v>
      </c>
      <c r="D113" s="6" t="s">
        <v>1145</v>
      </c>
      <c r="E113" s="6" t="s">
        <v>729</v>
      </c>
      <c r="F113" s="6" t="s">
        <v>214</v>
      </c>
    </row>
    <row r="114">
      <c r="A114" s="6" t="s">
        <v>1148</v>
      </c>
      <c r="B114" s="6" t="s">
        <v>199</v>
      </c>
      <c r="C114" s="6" t="s">
        <v>41</v>
      </c>
      <c r="D114" s="6" t="s">
        <v>1149</v>
      </c>
      <c r="E114" s="6" t="s">
        <v>1150</v>
      </c>
      <c r="F114" s="6" t="s">
        <v>205</v>
      </c>
    </row>
    <row r="115">
      <c r="A115" s="6" t="s">
        <v>1152</v>
      </c>
      <c r="B115" s="6" t="s">
        <v>123</v>
      </c>
      <c r="C115" s="6" t="s">
        <v>41</v>
      </c>
      <c r="D115" s="6" t="s">
        <v>1153</v>
      </c>
      <c r="E115" s="6" t="s">
        <v>1154</v>
      </c>
      <c r="F115" s="6" t="s">
        <v>108</v>
      </c>
    </row>
    <row r="116">
      <c r="A116" s="6" t="s">
        <v>1155</v>
      </c>
      <c r="B116" s="6" t="s">
        <v>121</v>
      </c>
      <c r="C116" s="6" t="s">
        <v>41</v>
      </c>
      <c r="D116" s="6" t="s">
        <v>1156</v>
      </c>
      <c r="E116" s="6" t="s">
        <v>239</v>
      </c>
      <c r="F116" s="6" t="s">
        <v>239</v>
      </c>
    </row>
    <row r="117">
      <c r="A117" s="6" t="s">
        <v>1157</v>
      </c>
      <c r="B117" s="6" t="s">
        <v>132</v>
      </c>
      <c r="C117" s="6" t="s">
        <v>41</v>
      </c>
      <c r="D117" s="6" t="s">
        <v>1158</v>
      </c>
      <c r="E117" s="6" t="s">
        <v>458</v>
      </c>
      <c r="F117" s="6" t="s">
        <v>239</v>
      </c>
    </row>
    <row r="118">
      <c r="A118" s="6" t="s">
        <v>1161</v>
      </c>
      <c r="B118" s="6" t="s">
        <v>1163</v>
      </c>
      <c r="C118" s="6" t="s">
        <v>41</v>
      </c>
      <c r="D118" s="6" t="s">
        <v>1164</v>
      </c>
      <c r="E118" s="6" t="s">
        <v>205</v>
      </c>
      <c r="F118" s="6" t="s">
        <v>205</v>
      </c>
    </row>
    <row r="119">
      <c r="A119" s="6" t="s">
        <v>1166</v>
      </c>
      <c r="B119" s="6" t="s">
        <v>118</v>
      </c>
      <c r="C119" s="6" t="s">
        <v>41</v>
      </c>
      <c r="D119" s="6" t="s">
        <v>1168</v>
      </c>
      <c r="E119" s="6" t="s">
        <v>791</v>
      </c>
      <c r="F119" s="6" t="s">
        <v>791</v>
      </c>
    </row>
    <row r="120">
      <c r="A120" s="6" t="s">
        <v>1169</v>
      </c>
      <c r="B120" s="6" t="s">
        <v>335</v>
      </c>
      <c r="C120" s="6" t="s">
        <v>41</v>
      </c>
      <c r="D120" s="6" t="s">
        <v>1170</v>
      </c>
      <c r="E120" s="6" t="s">
        <v>827</v>
      </c>
      <c r="F120" s="6" t="s">
        <v>100</v>
      </c>
    </row>
    <row r="121">
      <c r="A121" s="6" t="s">
        <v>1172</v>
      </c>
      <c r="B121" s="6" t="s">
        <v>250</v>
      </c>
      <c r="C121" s="6" t="s">
        <v>41</v>
      </c>
      <c r="D121" s="6" t="s">
        <v>1173</v>
      </c>
      <c r="E121" s="6" t="s">
        <v>1174</v>
      </c>
      <c r="F121" s="6" t="s">
        <v>214</v>
      </c>
    </row>
    <row r="122">
      <c r="A122" s="6" t="s">
        <v>1175</v>
      </c>
      <c r="B122" s="6" t="s">
        <v>256</v>
      </c>
      <c r="C122" s="6" t="s">
        <v>789</v>
      </c>
      <c r="D122" s="6" t="s">
        <v>884</v>
      </c>
      <c r="E122" s="6" t="s">
        <v>126</v>
      </c>
      <c r="F122" s="6" t="s">
        <v>126</v>
      </c>
    </row>
    <row r="123">
      <c r="A123" s="6" t="s">
        <v>1176</v>
      </c>
      <c r="B123" s="6" t="s">
        <v>245</v>
      </c>
      <c r="C123" s="6" t="s">
        <v>41</v>
      </c>
      <c r="D123" s="6" t="s">
        <v>1177</v>
      </c>
      <c r="E123" s="6" t="s">
        <v>214</v>
      </c>
      <c r="F123" s="6" t="s">
        <v>214</v>
      </c>
    </row>
    <row r="124">
      <c r="A124" s="6" t="s">
        <v>1178</v>
      </c>
      <c r="B124" s="6" t="s">
        <v>358</v>
      </c>
      <c r="C124" s="6" t="s">
        <v>41</v>
      </c>
      <c r="D124" s="6" t="s">
        <v>1179</v>
      </c>
      <c r="E124" s="6" t="s">
        <v>100</v>
      </c>
      <c r="F124" s="6" t="s">
        <v>100</v>
      </c>
    </row>
  </sheetData>
  <autoFilter ref="$A$1:$F$12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75"/>
    <col customWidth="1" min="16" max="16" width="17.63"/>
  </cols>
  <sheetData>
    <row r="1" ht="22.5" customHeight="1">
      <c r="A1" s="38" t="s">
        <v>1272</v>
      </c>
      <c r="B1" s="38" t="s">
        <v>1276</v>
      </c>
      <c r="C1" s="38" t="s">
        <v>1278</v>
      </c>
      <c r="D1" s="38" t="s">
        <v>1279</v>
      </c>
      <c r="E1" s="38" t="s">
        <v>1282</v>
      </c>
      <c r="F1" s="38" t="s">
        <v>294</v>
      </c>
      <c r="G1" s="38" t="s">
        <v>1286</v>
      </c>
      <c r="H1" s="38" t="s">
        <v>298</v>
      </c>
      <c r="I1" s="38" t="s">
        <v>1288</v>
      </c>
      <c r="J1" s="38" t="s">
        <v>1289</v>
      </c>
      <c r="K1" s="38" t="s">
        <v>1292</v>
      </c>
      <c r="L1" s="39" t="s">
        <v>1294</v>
      </c>
      <c r="M1" s="40" t="s">
        <v>1295</v>
      </c>
      <c r="N1" s="40" t="s">
        <v>1299</v>
      </c>
      <c r="O1" s="40" t="s">
        <v>1302</v>
      </c>
      <c r="P1" s="41" t="s">
        <v>1304</v>
      </c>
    </row>
    <row r="2" ht="22.5" customHeight="1">
      <c r="A2" s="42" t="s">
        <v>78</v>
      </c>
      <c r="B2" s="42" t="s">
        <v>29</v>
      </c>
      <c r="C2" s="42" t="s">
        <v>1310</v>
      </c>
      <c r="D2" s="43">
        <v>33553.0</v>
      </c>
      <c r="E2" s="42" t="str">
        <f t="shared" ref="E2:E132" si="1">TEXT(D2,"DD MMMM YYY")</f>
        <v>11 November 1991</v>
      </c>
      <c r="F2" s="42" t="s">
        <v>1321</v>
      </c>
      <c r="G2" s="44" t="str">
        <f t="shared" ref="G2:G132" si="2">F2&amp;","&amp;E2</f>
        <v>Banjarmasin,11 November 1991</v>
      </c>
      <c r="H2" s="42" t="s">
        <v>1324</v>
      </c>
      <c r="I2" s="45" t="s">
        <v>1328</v>
      </c>
      <c r="J2" s="42" t="s">
        <v>1331</v>
      </c>
      <c r="K2" s="42" t="s">
        <v>1333</v>
      </c>
      <c r="L2" s="46" t="s">
        <v>1334</v>
      </c>
      <c r="M2" s="47"/>
      <c r="N2" s="48" t="s">
        <v>78</v>
      </c>
      <c r="O2" s="48" t="s">
        <v>1343</v>
      </c>
      <c r="P2" s="49">
        <f>vlookup(B2,'RAW DATA'!B:U,14,0)</f>
        <v>46265</v>
      </c>
    </row>
    <row r="3" ht="22.5" customHeight="1">
      <c r="A3" s="50" t="s">
        <v>791</v>
      </c>
      <c r="B3" s="51" t="s">
        <v>743</v>
      </c>
      <c r="C3" s="50" t="s">
        <v>1361</v>
      </c>
      <c r="D3" s="52">
        <v>37975.0</v>
      </c>
      <c r="E3" s="50" t="str">
        <f t="shared" si="1"/>
        <v>20 Desember 2003</v>
      </c>
      <c r="F3" s="50" t="s">
        <v>1368</v>
      </c>
      <c r="G3" s="44" t="str">
        <f t="shared" si="2"/>
        <v>Pandeglang ,20 Desember 2003</v>
      </c>
      <c r="H3" s="50" t="s">
        <v>1324</v>
      </c>
      <c r="I3" s="53" t="s">
        <v>1369</v>
      </c>
      <c r="J3" s="50" t="s">
        <v>702</v>
      </c>
      <c r="K3" s="50" t="s">
        <v>1370</v>
      </c>
      <c r="L3" s="55">
        <v>7.125610072E9</v>
      </c>
      <c r="M3" s="56"/>
      <c r="N3" s="57" t="e">
        <v>#N/A</v>
      </c>
      <c r="O3" s="57" t="s">
        <v>1343</v>
      </c>
      <c r="P3" s="49">
        <f>vlookup(B3,'RAW DATA'!B:U,14,0)</f>
        <v>46265</v>
      </c>
    </row>
    <row r="4" ht="22.5" customHeight="1">
      <c r="A4" s="42" t="s">
        <v>1371</v>
      </c>
      <c r="B4" s="42" t="s">
        <v>233</v>
      </c>
      <c r="C4" s="42" t="s">
        <v>1372</v>
      </c>
      <c r="D4" s="43">
        <v>37232.0</v>
      </c>
      <c r="E4" s="42" t="str">
        <f t="shared" si="1"/>
        <v>07 Desember 2001</v>
      </c>
      <c r="F4" s="42" t="s">
        <v>1373</v>
      </c>
      <c r="G4" s="44" t="str">
        <f t="shared" si="2"/>
        <v>Banyuwangi,07 Desember 2001</v>
      </c>
      <c r="H4" s="42" t="s">
        <v>1374</v>
      </c>
      <c r="I4" s="45" t="s">
        <v>1375</v>
      </c>
      <c r="J4" s="42" t="s">
        <v>1205</v>
      </c>
      <c r="K4" s="42" t="s">
        <v>1376</v>
      </c>
      <c r="L4" s="58">
        <v>3.510460391E9</v>
      </c>
      <c r="M4" s="47"/>
      <c r="N4" s="48" t="s">
        <v>126</v>
      </c>
      <c r="O4" s="48" t="s">
        <v>1343</v>
      </c>
      <c r="P4" s="49">
        <f>vlookup(B4,'RAW DATA'!B:U,14,0)</f>
        <v>46265</v>
      </c>
    </row>
    <row r="5" ht="22.5" customHeight="1">
      <c r="A5" s="50" t="s">
        <v>100</v>
      </c>
      <c r="B5" s="51" t="s">
        <v>1377</v>
      </c>
      <c r="C5" s="50" t="s">
        <v>1378</v>
      </c>
      <c r="D5" s="52">
        <v>35874.0</v>
      </c>
      <c r="E5" s="50" t="str">
        <f t="shared" si="1"/>
        <v>20 Maret 1998</v>
      </c>
      <c r="F5" s="50" t="s">
        <v>1379</v>
      </c>
      <c r="G5" s="44" t="str">
        <f t="shared" si="2"/>
        <v>Ujung pandang ,20 Maret 1998</v>
      </c>
      <c r="H5" s="50" t="s">
        <v>1324</v>
      </c>
      <c r="I5" s="53" t="s">
        <v>1380</v>
      </c>
      <c r="J5" s="50" t="s">
        <v>1381</v>
      </c>
      <c r="K5" s="50" t="s">
        <v>1382</v>
      </c>
      <c r="L5" s="55">
        <v>7.991303573E9</v>
      </c>
      <c r="M5" s="56"/>
      <c r="N5" s="57" t="s">
        <v>100</v>
      </c>
      <c r="O5" s="57" t="s">
        <v>1343</v>
      </c>
      <c r="P5" s="49">
        <f>vlookup(B5,'RAW DATA'!B:U,14,0)</f>
        <v>46265</v>
      </c>
    </row>
    <row r="6" ht="22.5" customHeight="1">
      <c r="A6" s="42" t="s">
        <v>78</v>
      </c>
      <c r="B6" s="59" t="s">
        <v>1383</v>
      </c>
      <c r="C6" s="42" t="s">
        <v>1384</v>
      </c>
      <c r="D6" s="43">
        <v>34822.0</v>
      </c>
      <c r="E6" s="42" t="str">
        <f t="shared" si="1"/>
        <v>03 Mei 1995</v>
      </c>
      <c r="F6" s="42" t="s">
        <v>1385</v>
      </c>
      <c r="G6" s="44" t="str">
        <f t="shared" si="2"/>
        <v>Banjarmasin ,03 Mei 1995</v>
      </c>
      <c r="H6" s="42" t="s">
        <v>1324</v>
      </c>
      <c r="I6" s="45" t="s">
        <v>1386</v>
      </c>
      <c r="J6" s="42" t="s">
        <v>1387</v>
      </c>
      <c r="K6" s="42" t="s">
        <v>1388</v>
      </c>
      <c r="L6" s="58">
        <v>7.820819785E9</v>
      </c>
      <c r="M6" s="47"/>
      <c r="N6" s="48" t="e">
        <v>#N/A</v>
      </c>
      <c r="O6" s="48" t="s">
        <v>1343</v>
      </c>
      <c r="P6" s="49">
        <f>vlookup(B6,'RAW DATA'!B:U,14,0)</f>
        <v>46265</v>
      </c>
    </row>
    <row r="7" ht="22.5" customHeight="1">
      <c r="A7" s="50" t="s">
        <v>791</v>
      </c>
      <c r="B7" s="50" t="s">
        <v>1389</v>
      </c>
      <c r="C7" s="50" t="s">
        <v>1390</v>
      </c>
      <c r="D7" s="52">
        <v>31659.0</v>
      </c>
      <c r="E7" s="50" t="str">
        <f t="shared" si="1"/>
        <v>04 September 1986</v>
      </c>
      <c r="F7" s="50" t="s">
        <v>1391</v>
      </c>
      <c r="G7" s="44" t="str">
        <f t="shared" si="2"/>
        <v>Jakarta ,04 September 1986</v>
      </c>
      <c r="H7" s="50" t="s">
        <v>1324</v>
      </c>
      <c r="I7" s="53" t="s">
        <v>1392</v>
      </c>
      <c r="J7" s="50" t="s">
        <v>1393</v>
      </c>
      <c r="K7" s="50" t="s">
        <v>1394</v>
      </c>
      <c r="L7" s="55">
        <v>8.691115984E9</v>
      </c>
      <c r="M7" s="56"/>
      <c r="N7" s="57" t="s">
        <v>801</v>
      </c>
      <c r="O7" s="57" t="s">
        <v>1343</v>
      </c>
      <c r="P7" s="49">
        <f>vlookup(B7,'RAW DATA'!B:U,14,0)</f>
        <v>46265</v>
      </c>
    </row>
    <row r="8" ht="22.5" customHeight="1">
      <c r="A8" s="60" t="s">
        <v>818</v>
      </c>
      <c r="B8" s="60" t="s">
        <v>1395</v>
      </c>
      <c r="C8" s="60" t="s">
        <v>1396</v>
      </c>
      <c r="D8" s="61">
        <v>35012.0</v>
      </c>
      <c r="E8" s="60" t="str">
        <f t="shared" si="1"/>
        <v>09 November 1995</v>
      </c>
      <c r="F8" s="60" t="s">
        <v>1397</v>
      </c>
      <c r="G8" s="60" t="str">
        <f t="shared" si="2"/>
        <v>Ponorogo,09 November 1995</v>
      </c>
      <c r="H8" s="60" t="s">
        <v>1324</v>
      </c>
      <c r="I8" s="62" t="s">
        <v>1398</v>
      </c>
      <c r="J8" s="60" t="s">
        <v>1399</v>
      </c>
      <c r="K8" s="60" t="s">
        <v>1397</v>
      </c>
      <c r="L8" s="63">
        <v>2.891046822E9</v>
      </c>
      <c r="M8" s="64" t="s">
        <v>1400</v>
      </c>
      <c r="N8" s="64" t="s">
        <v>818</v>
      </c>
      <c r="O8" s="64" t="s">
        <v>1343</v>
      </c>
      <c r="P8" s="49">
        <f>vlookup(B8,'RAW DATA'!B:U,14,0)</f>
        <v>46265</v>
      </c>
    </row>
    <row r="9" ht="22.5" customHeight="1">
      <c r="A9" s="50" t="s">
        <v>115</v>
      </c>
      <c r="B9" s="50" t="s">
        <v>222</v>
      </c>
      <c r="C9" s="50" t="s">
        <v>1401</v>
      </c>
      <c r="D9" s="52" t="s">
        <v>1402</v>
      </c>
      <c r="E9" s="50" t="str">
        <f t="shared" si="1"/>
        <v>27 Agustus 0095</v>
      </c>
      <c r="F9" s="50" t="s">
        <v>115</v>
      </c>
      <c r="G9" s="44" t="str">
        <f t="shared" si="2"/>
        <v>SAMARINDA,27 Agustus 0095</v>
      </c>
      <c r="H9" s="50" t="s">
        <v>1324</v>
      </c>
      <c r="I9" s="53" t="s">
        <v>1403</v>
      </c>
      <c r="J9" s="50" t="s">
        <v>201</v>
      </c>
      <c r="K9" s="50" t="s">
        <v>1404</v>
      </c>
      <c r="L9" s="55">
        <v>7.935297133E9</v>
      </c>
      <c r="M9" s="56"/>
      <c r="N9" s="57" t="s">
        <v>115</v>
      </c>
      <c r="O9" s="57" t="s">
        <v>1343</v>
      </c>
      <c r="P9" s="49">
        <f>vlookup(B9,'RAW DATA'!B:U,14,0)</f>
        <v>46265</v>
      </c>
    </row>
    <row r="10" ht="22.5" customHeight="1">
      <c r="A10" s="42" t="s">
        <v>100</v>
      </c>
      <c r="B10" s="42" t="s">
        <v>1405</v>
      </c>
      <c r="C10" s="42" t="s">
        <v>1406</v>
      </c>
      <c r="D10" s="43">
        <v>34603.0</v>
      </c>
      <c r="E10" s="42" t="str">
        <f t="shared" si="1"/>
        <v>26 September 1994</v>
      </c>
      <c r="F10" s="42" t="s">
        <v>100</v>
      </c>
      <c r="G10" s="44" t="str">
        <f t="shared" si="2"/>
        <v>MAKASSAR,26 September 1994</v>
      </c>
      <c r="H10" s="42" t="s">
        <v>1324</v>
      </c>
      <c r="I10" s="45" t="s">
        <v>1407</v>
      </c>
      <c r="J10" s="42" t="s">
        <v>1408</v>
      </c>
      <c r="K10" s="42" t="s">
        <v>1409</v>
      </c>
      <c r="L10" s="58">
        <v>6.485307366E9</v>
      </c>
      <c r="M10" s="47"/>
      <c r="N10" s="48" t="s">
        <v>100</v>
      </c>
      <c r="O10" s="48" t="s">
        <v>1343</v>
      </c>
      <c r="P10" s="49">
        <f>vlookup(B10,'RAW DATA'!B:U,14,0)</f>
        <v>46265</v>
      </c>
    </row>
    <row r="11" ht="22.5" customHeight="1">
      <c r="A11" s="50" t="s">
        <v>126</v>
      </c>
      <c r="B11" s="50" t="s">
        <v>1063</v>
      </c>
      <c r="C11" s="50" t="s">
        <v>1410</v>
      </c>
      <c r="D11" s="52">
        <v>37492.0</v>
      </c>
      <c r="E11" s="50" t="str">
        <f t="shared" si="1"/>
        <v>24 Agustus 2002</v>
      </c>
      <c r="F11" s="50" t="s">
        <v>1411</v>
      </c>
      <c r="G11" s="44" t="str">
        <f t="shared" si="2"/>
        <v>KEDIRI ,24 Agustus 2002</v>
      </c>
      <c r="H11" s="50" t="s">
        <v>1374</v>
      </c>
      <c r="I11" s="53" t="s">
        <v>1412</v>
      </c>
      <c r="J11" s="50" t="s">
        <v>1043</v>
      </c>
      <c r="K11" s="50" t="s">
        <v>1413</v>
      </c>
      <c r="L11" s="55">
        <v>6.123069515E9</v>
      </c>
      <c r="M11" s="56"/>
      <c r="N11" s="57" t="e">
        <v>#N/A</v>
      </c>
      <c r="O11" s="57" t="s">
        <v>1343</v>
      </c>
      <c r="P11" s="49">
        <f>vlookup(B11,'RAW DATA'!B:U,14,0)</f>
        <v>46265</v>
      </c>
    </row>
    <row r="12" ht="22.5" customHeight="1">
      <c r="A12" s="42" t="s">
        <v>100</v>
      </c>
      <c r="B12" s="59" t="s">
        <v>98</v>
      </c>
      <c r="C12" s="42" t="s">
        <v>1415</v>
      </c>
      <c r="D12" s="43">
        <v>32993.0</v>
      </c>
      <c r="E12" s="42" t="str">
        <f t="shared" si="1"/>
        <v>30 April 1990</v>
      </c>
      <c r="F12" s="42" t="s">
        <v>1416</v>
      </c>
      <c r="G12" s="44" t="str">
        <f t="shared" si="2"/>
        <v>Soppeng ,30 April 1990</v>
      </c>
      <c r="H12" s="42" t="s">
        <v>1324</v>
      </c>
      <c r="I12" s="45" t="s">
        <v>1417</v>
      </c>
      <c r="J12" s="42" t="s">
        <v>1418</v>
      </c>
      <c r="K12" s="42" t="s">
        <v>1419</v>
      </c>
      <c r="L12" s="46" t="s">
        <v>1420</v>
      </c>
      <c r="M12" s="47"/>
      <c r="N12" s="48" t="e">
        <v>#N/A</v>
      </c>
      <c r="O12" s="48" t="s">
        <v>1343</v>
      </c>
      <c r="P12" s="49">
        <f>vlookup(B12,'RAW DATA'!B:U,14,0)</f>
        <v>46265</v>
      </c>
    </row>
    <row r="13" ht="22.5" customHeight="1">
      <c r="A13" s="50" t="s">
        <v>791</v>
      </c>
      <c r="B13" s="50" t="s">
        <v>255</v>
      </c>
      <c r="C13" s="50" t="s">
        <v>1421</v>
      </c>
      <c r="D13" s="52">
        <v>38171.0</v>
      </c>
      <c r="E13" s="50" t="str">
        <f t="shared" si="1"/>
        <v>03 Juli 2004</v>
      </c>
      <c r="F13" s="50" t="s">
        <v>1422</v>
      </c>
      <c r="G13" s="44" t="str">
        <f t="shared" si="2"/>
        <v>Tangerang ,03 Juli 2004</v>
      </c>
      <c r="H13" s="50" t="s">
        <v>1324</v>
      </c>
      <c r="I13" s="53" t="s">
        <v>1423</v>
      </c>
      <c r="J13" s="50" t="s">
        <v>1260</v>
      </c>
      <c r="K13" s="50" t="s">
        <v>1424</v>
      </c>
      <c r="L13" s="55">
        <v>5.940898368E9</v>
      </c>
      <c r="M13" s="56"/>
      <c r="N13" s="57" t="s">
        <v>42</v>
      </c>
      <c r="O13" s="57" t="s">
        <v>1343</v>
      </c>
      <c r="P13" s="49">
        <f>vlookup(B13,'RAW DATA'!B:U,14,0)</f>
        <v>46265</v>
      </c>
    </row>
    <row r="14" ht="22.5" customHeight="1">
      <c r="A14" s="42" t="s">
        <v>126</v>
      </c>
      <c r="B14" s="42" t="s">
        <v>324</v>
      </c>
      <c r="C14" s="42" t="s">
        <v>1425</v>
      </c>
      <c r="D14" s="43">
        <v>32016.0</v>
      </c>
      <c r="E14" s="42" t="str">
        <f t="shared" si="1"/>
        <v>27 Agustus 1987</v>
      </c>
      <c r="F14" s="42" t="s">
        <v>126</v>
      </c>
      <c r="G14" s="44" t="str">
        <f t="shared" si="2"/>
        <v>SURABAYA,27 Agustus 1987</v>
      </c>
      <c r="H14" s="42" t="s">
        <v>1324</v>
      </c>
      <c r="I14" s="45" t="s">
        <v>1426</v>
      </c>
      <c r="J14" s="42" t="s">
        <v>1427</v>
      </c>
      <c r="K14" s="42" t="s">
        <v>1429</v>
      </c>
      <c r="L14" s="58">
        <v>1.020482849E9</v>
      </c>
      <c r="M14" s="47"/>
      <c r="N14" s="48" t="s">
        <v>126</v>
      </c>
      <c r="O14" s="48" t="s">
        <v>1343</v>
      </c>
      <c r="P14" s="49">
        <f>vlookup(B14,'RAW DATA'!B:U,14,0)</f>
        <v>46265</v>
      </c>
    </row>
    <row r="15" ht="22.5" customHeight="1">
      <c r="A15" s="50" t="s">
        <v>791</v>
      </c>
      <c r="B15" s="50" t="s">
        <v>1180</v>
      </c>
      <c r="C15" s="50" t="s">
        <v>1430</v>
      </c>
      <c r="D15" s="52">
        <v>37253.0</v>
      </c>
      <c r="E15" s="50" t="str">
        <f t="shared" si="1"/>
        <v>28 Desember 2001</v>
      </c>
      <c r="F15" s="50" t="s">
        <v>1431</v>
      </c>
      <c r="G15" s="44" t="str">
        <f t="shared" si="2"/>
        <v>Pasaman, Sumatera Barat,28 Desember 2001</v>
      </c>
      <c r="H15" s="50" t="s">
        <v>1324</v>
      </c>
      <c r="I15" s="53" t="s">
        <v>1432</v>
      </c>
      <c r="J15" s="50" t="s">
        <v>1165</v>
      </c>
      <c r="K15" s="50" t="s">
        <v>1433</v>
      </c>
      <c r="L15" s="55">
        <v>8.520379852E9</v>
      </c>
      <c r="M15" s="56"/>
      <c r="N15" s="57" t="s">
        <v>791</v>
      </c>
      <c r="O15" s="57" t="s">
        <v>1343</v>
      </c>
      <c r="P15" s="49">
        <f>vlookup(B15,'RAW DATA'!B:U,14,0)</f>
        <v>46265</v>
      </c>
    </row>
    <row r="16" ht="22.5" customHeight="1">
      <c r="A16" s="42" t="s">
        <v>791</v>
      </c>
      <c r="B16" s="59" t="s">
        <v>85</v>
      </c>
      <c r="C16" s="42" t="s">
        <v>1434</v>
      </c>
      <c r="D16" s="43">
        <v>34895.0</v>
      </c>
      <c r="E16" s="42" t="str">
        <f t="shared" si="1"/>
        <v>15 Juli 1995</v>
      </c>
      <c r="F16" s="42" t="s">
        <v>1391</v>
      </c>
      <c r="G16" s="44" t="str">
        <f t="shared" si="2"/>
        <v>Jakarta ,15 Juli 1995</v>
      </c>
      <c r="H16" s="42" t="s">
        <v>1374</v>
      </c>
      <c r="I16" s="45" t="s">
        <v>1435</v>
      </c>
      <c r="J16" s="42" t="s">
        <v>512</v>
      </c>
      <c r="K16" s="42" t="s">
        <v>1436</v>
      </c>
      <c r="L16" s="58">
        <v>1.28034654E9</v>
      </c>
      <c r="M16" s="47"/>
      <c r="N16" s="48" t="e">
        <v>#N/A</v>
      </c>
      <c r="O16" s="48" t="s">
        <v>1343</v>
      </c>
      <c r="P16" s="49">
        <f>vlookup(B16,'RAW DATA'!B:U,14,0)</f>
        <v>46265</v>
      </c>
    </row>
    <row r="17" ht="22.5" customHeight="1">
      <c r="A17" s="50" t="s">
        <v>729</v>
      </c>
      <c r="B17" s="50" t="s">
        <v>1437</v>
      </c>
      <c r="C17" s="50" t="s">
        <v>1438</v>
      </c>
      <c r="D17" s="52">
        <v>35980.0</v>
      </c>
      <c r="E17" s="50" t="str">
        <f t="shared" si="1"/>
        <v>04 Juli 1998</v>
      </c>
      <c r="F17" s="50" t="s">
        <v>1087</v>
      </c>
      <c r="G17" s="44" t="str">
        <f t="shared" si="2"/>
        <v>KLATEN,04 Juli 1998</v>
      </c>
      <c r="H17" s="50" t="s">
        <v>1324</v>
      </c>
      <c r="I17" s="53" t="s">
        <v>1439</v>
      </c>
      <c r="J17" s="50" t="s">
        <v>1440</v>
      </c>
      <c r="K17" s="50" t="s">
        <v>1441</v>
      </c>
      <c r="L17" s="66" t="s">
        <v>1442</v>
      </c>
      <c r="M17" s="56"/>
      <c r="N17" s="57" t="s">
        <v>729</v>
      </c>
      <c r="O17" s="57" t="s">
        <v>1343</v>
      </c>
      <c r="P17" s="49">
        <f>vlookup(B17,'RAW DATA'!B:U,14,0)</f>
        <v>46265</v>
      </c>
    </row>
    <row r="18" ht="22.5" customHeight="1">
      <c r="A18" s="42" t="s">
        <v>805</v>
      </c>
      <c r="B18" s="42" t="s">
        <v>1443</v>
      </c>
      <c r="C18" s="42" t="s">
        <v>1444</v>
      </c>
      <c r="D18" s="43">
        <v>38319.0</v>
      </c>
      <c r="E18" s="42" t="str">
        <f t="shared" si="1"/>
        <v>28 November 2004</v>
      </c>
      <c r="F18" s="42" t="s">
        <v>1445</v>
      </c>
      <c r="G18" s="44" t="str">
        <f t="shared" si="2"/>
        <v>subang, jawa barat,28 November 2004</v>
      </c>
      <c r="H18" s="42" t="s">
        <v>1324</v>
      </c>
      <c r="I18" s="45" t="s">
        <v>1446</v>
      </c>
      <c r="J18" s="42" t="s">
        <v>833</v>
      </c>
      <c r="K18" s="42" t="s">
        <v>1447</v>
      </c>
      <c r="L18" s="58">
        <v>1.23456789E9</v>
      </c>
      <c r="M18" s="47"/>
      <c r="N18" s="48" t="s">
        <v>805</v>
      </c>
      <c r="O18" s="48" t="s">
        <v>1343</v>
      </c>
      <c r="P18" s="49">
        <f>vlookup(B18,'RAW DATA'!B:U,14,0)</f>
        <v>46265</v>
      </c>
    </row>
    <row r="19" ht="22.5" customHeight="1">
      <c r="A19" s="50" t="s">
        <v>126</v>
      </c>
      <c r="B19" s="51" t="s">
        <v>1448</v>
      </c>
      <c r="C19" s="50" t="s">
        <v>1449</v>
      </c>
      <c r="D19" s="52">
        <v>35132.0</v>
      </c>
      <c r="E19" s="50" t="str">
        <f t="shared" si="1"/>
        <v>08 Maret 1996</v>
      </c>
      <c r="F19" s="50" t="s">
        <v>1450</v>
      </c>
      <c r="G19" s="44" t="str">
        <f t="shared" si="2"/>
        <v>Surabaya,08 Maret 1996</v>
      </c>
      <c r="H19" s="50" t="s">
        <v>1324</v>
      </c>
      <c r="I19" s="53" t="s">
        <v>1451</v>
      </c>
      <c r="J19" s="50" t="s">
        <v>230</v>
      </c>
      <c r="K19" s="50" t="s">
        <v>1452</v>
      </c>
      <c r="L19" s="55">
        <v>5.600289308E9</v>
      </c>
      <c r="M19" s="56"/>
      <c r="N19" s="57" t="e">
        <v>#N/A</v>
      </c>
      <c r="O19" s="57" t="s">
        <v>1343</v>
      </c>
      <c r="P19" s="49">
        <f>vlookup(B19,'RAW DATA'!B:U,14,0)</f>
        <v>46265</v>
      </c>
    </row>
    <row r="20" ht="22.5" customHeight="1">
      <c r="A20" s="42" t="s">
        <v>791</v>
      </c>
      <c r="B20" s="42" t="s">
        <v>118</v>
      </c>
      <c r="C20" s="42" t="s">
        <v>1453</v>
      </c>
      <c r="D20" s="43">
        <v>33392.0</v>
      </c>
      <c r="E20" s="42" t="str">
        <f t="shared" si="1"/>
        <v>03 Juni 1991</v>
      </c>
      <c r="F20" s="42" t="s">
        <v>1454</v>
      </c>
      <c r="G20" s="44" t="str">
        <f t="shared" si="2"/>
        <v>jakarta,03 Juni 1991</v>
      </c>
      <c r="H20" s="42" t="s">
        <v>1324</v>
      </c>
      <c r="I20" s="45" t="s">
        <v>1455</v>
      </c>
      <c r="J20" s="42" t="s">
        <v>528</v>
      </c>
      <c r="K20" s="42" t="s">
        <v>1456</v>
      </c>
      <c r="L20" s="58">
        <v>1.080388914E9</v>
      </c>
      <c r="M20" s="47"/>
      <c r="N20" s="48" t="s">
        <v>42</v>
      </c>
      <c r="O20" s="48" t="s">
        <v>1343</v>
      </c>
      <c r="P20" s="49">
        <f>vlookup(B20,'RAW DATA'!B:U,14,0)</f>
        <v>46265</v>
      </c>
    </row>
    <row r="21" ht="22.5" customHeight="1">
      <c r="A21" s="60" t="s">
        <v>931</v>
      </c>
      <c r="B21" s="60" t="s">
        <v>188</v>
      </c>
      <c r="C21" s="60" t="s">
        <v>1457</v>
      </c>
      <c r="D21" s="61">
        <v>31317.0</v>
      </c>
      <c r="E21" s="60" t="str">
        <f t="shared" si="1"/>
        <v>27 September 1985</v>
      </c>
      <c r="F21" s="60" t="s">
        <v>1458</v>
      </c>
      <c r="G21" s="60" t="str">
        <f t="shared" si="2"/>
        <v>Lumajang,27 September 1985</v>
      </c>
      <c r="H21" s="60" t="s">
        <v>1324</v>
      </c>
      <c r="I21" s="62" t="s">
        <v>1459</v>
      </c>
      <c r="J21" s="60" t="s">
        <v>947</v>
      </c>
      <c r="K21" s="60" t="s">
        <v>1460</v>
      </c>
      <c r="L21" s="63">
        <v>1.25089416E9</v>
      </c>
      <c r="M21" s="64" t="s">
        <v>1400</v>
      </c>
      <c r="N21" s="64" t="s">
        <v>931</v>
      </c>
      <c r="O21" s="64" t="s">
        <v>1343</v>
      </c>
      <c r="P21" s="49">
        <f>vlookup(B21,'RAW DATA'!B:U,14,0)</f>
        <v>46265</v>
      </c>
    </row>
    <row r="22" ht="22.5" customHeight="1">
      <c r="A22" s="42" t="s">
        <v>1112</v>
      </c>
      <c r="B22" s="42" t="s">
        <v>125</v>
      </c>
      <c r="C22" s="42" t="s">
        <v>1461</v>
      </c>
      <c r="D22" s="43">
        <v>31546.0</v>
      </c>
      <c r="E22" s="42" t="str">
        <f t="shared" si="1"/>
        <v>14 Mei 1986</v>
      </c>
      <c r="F22" s="42" t="s">
        <v>1462</v>
      </c>
      <c r="G22" s="44" t="str">
        <f t="shared" si="2"/>
        <v>Ciamis,14 Mei 1986</v>
      </c>
      <c r="H22" s="42" t="s">
        <v>1324</v>
      </c>
      <c r="I22" s="45" t="s">
        <v>1463</v>
      </c>
      <c r="J22" s="42" t="s">
        <v>559</v>
      </c>
      <c r="K22" s="42" t="s">
        <v>1464</v>
      </c>
      <c r="L22" s="58">
        <v>4.21035319E9</v>
      </c>
      <c r="M22" s="47"/>
      <c r="N22" s="48" t="s">
        <v>1112</v>
      </c>
      <c r="O22" s="48" t="s">
        <v>1343</v>
      </c>
      <c r="P22" s="49">
        <f>vlookup(B22,'RAW DATA'!B:U,14,0)</f>
        <v>46265</v>
      </c>
    </row>
    <row r="23" ht="22.5" customHeight="1">
      <c r="A23" s="50" t="s">
        <v>791</v>
      </c>
      <c r="B23" s="50" t="s">
        <v>1465</v>
      </c>
      <c r="C23" s="50" t="s">
        <v>1466</v>
      </c>
      <c r="D23" s="52">
        <v>36550.0</v>
      </c>
      <c r="E23" s="50" t="str">
        <f t="shared" si="1"/>
        <v>25 Januari 2000</v>
      </c>
      <c r="F23" s="50" t="s">
        <v>758</v>
      </c>
      <c r="G23" s="44" t="str">
        <f t="shared" si="2"/>
        <v>Jakarta,25 Januari 2000</v>
      </c>
      <c r="H23" s="50" t="s">
        <v>1324</v>
      </c>
      <c r="I23" s="53" t="s">
        <v>1467</v>
      </c>
      <c r="J23" s="50" t="s">
        <v>1214</v>
      </c>
      <c r="K23" s="50" t="s">
        <v>631</v>
      </c>
      <c r="L23" s="55">
        <v>2.86022958E9</v>
      </c>
      <c r="M23" s="56"/>
      <c r="N23" s="57" t="s">
        <v>1468</v>
      </c>
      <c r="O23" s="57" t="s">
        <v>1343</v>
      </c>
      <c r="P23" s="49">
        <f>vlookup(B23,'RAW DATA'!B:U,14,0)</f>
        <v>46265</v>
      </c>
    </row>
    <row r="24" ht="22.5" customHeight="1">
      <c r="A24" s="42" t="s">
        <v>951</v>
      </c>
      <c r="B24" s="59" t="s">
        <v>405</v>
      </c>
      <c r="C24" s="42" t="s">
        <v>1469</v>
      </c>
      <c r="D24" s="43">
        <v>37308.0</v>
      </c>
      <c r="E24" s="42" t="str">
        <f t="shared" si="1"/>
        <v>21 Februari 2002</v>
      </c>
      <c r="F24" s="42" t="s">
        <v>1470</v>
      </c>
      <c r="G24" s="44" t="str">
        <f t="shared" si="2"/>
        <v>Kediri,21 Februari 2002</v>
      </c>
      <c r="H24" s="42" t="s">
        <v>1324</v>
      </c>
      <c r="I24" s="45" t="s">
        <v>1471</v>
      </c>
      <c r="J24" s="42" t="s">
        <v>1472</v>
      </c>
      <c r="K24" s="42" t="s">
        <v>1473</v>
      </c>
      <c r="L24" s="58">
        <v>2.980820818E9</v>
      </c>
      <c r="M24" s="47"/>
      <c r="N24" s="48" t="e">
        <v>#N/A</v>
      </c>
      <c r="O24" s="48" t="s">
        <v>1343</v>
      </c>
      <c r="P24" s="49">
        <f>vlookup(B24,'RAW DATA'!B:U,14,0)</f>
        <v>46265</v>
      </c>
    </row>
    <row r="25" ht="22.5" customHeight="1">
      <c r="A25" s="50" t="s">
        <v>1022</v>
      </c>
      <c r="B25" s="50" t="s">
        <v>1474</v>
      </c>
      <c r="C25" s="50" t="s">
        <v>1475</v>
      </c>
      <c r="D25" s="52">
        <v>38092.0</v>
      </c>
      <c r="E25" s="50" t="str">
        <f t="shared" si="1"/>
        <v>15 April 2004</v>
      </c>
      <c r="F25" s="50" t="s">
        <v>1022</v>
      </c>
      <c r="G25" s="44" t="str">
        <f t="shared" si="2"/>
        <v>SAMPIT,15 April 2004</v>
      </c>
      <c r="H25" s="50" t="s">
        <v>1324</v>
      </c>
      <c r="I25" s="53" t="s">
        <v>1476</v>
      </c>
      <c r="J25" s="50" t="s">
        <v>1477</v>
      </c>
      <c r="K25" s="50" t="s">
        <v>1478</v>
      </c>
      <c r="L25" s="55">
        <v>6.695618313E9</v>
      </c>
      <c r="M25" s="56"/>
      <c r="N25" s="57" t="s">
        <v>1022</v>
      </c>
      <c r="O25" s="57" t="s">
        <v>1343</v>
      </c>
      <c r="P25" s="49">
        <f>vlookup(B25,'RAW DATA'!B:U,14,0)</f>
        <v>46265</v>
      </c>
    </row>
    <row r="26" ht="22.5" customHeight="1">
      <c r="A26" s="60" t="s">
        <v>1479</v>
      </c>
      <c r="B26" s="60" t="s">
        <v>146</v>
      </c>
      <c r="C26" s="60" t="s">
        <v>669</v>
      </c>
      <c r="D26" s="61">
        <v>36349.0</v>
      </c>
      <c r="E26" s="60" t="str">
        <f t="shared" si="1"/>
        <v>08 Juli 1999</v>
      </c>
      <c r="F26" s="60" t="s">
        <v>1480</v>
      </c>
      <c r="G26" s="60" t="str">
        <f t="shared" si="2"/>
        <v>Palangkaraya,08 Juli 1999</v>
      </c>
      <c r="H26" s="60" t="s">
        <v>1324</v>
      </c>
      <c r="I26" s="62" t="s">
        <v>1481</v>
      </c>
      <c r="J26" s="60" t="s">
        <v>1482</v>
      </c>
      <c r="K26" s="60" t="s">
        <v>1483</v>
      </c>
      <c r="L26" s="63">
        <v>6.575189966E9</v>
      </c>
      <c r="M26" s="64" t="s">
        <v>1400</v>
      </c>
      <c r="N26" s="64" t="s">
        <v>78</v>
      </c>
      <c r="O26" s="64" t="s">
        <v>1343</v>
      </c>
      <c r="P26" s="49">
        <f>vlookup(B26,'RAW DATA'!B:U,14,0)</f>
        <v>46265</v>
      </c>
    </row>
    <row r="27" ht="22.5" customHeight="1">
      <c r="A27" s="50" t="s">
        <v>507</v>
      </c>
      <c r="B27" s="51" t="s">
        <v>700</v>
      </c>
      <c r="C27" s="50" t="s">
        <v>1484</v>
      </c>
      <c r="D27" s="52">
        <v>34794.0</v>
      </c>
      <c r="E27" s="50" t="str">
        <f t="shared" si="1"/>
        <v>05 April 1995</v>
      </c>
      <c r="F27" s="50" t="s">
        <v>1485</v>
      </c>
      <c r="G27" s="44" t="str">
        <f t="shared" si="2"/>
        <v>KETAPANG ,05 April 1995</v>
      </c>
      <c r="H27" s="50" t="s">
        <v>1324</v>
      </c>
      <c r="I27" s="53" t="s">
        <v>1486</v>
      </c>
      <c r="J27" s="50" t="s">
        <v>693</v>
      </c>
      <c r="K27" s="50" t="s">
        <v>1487</v>
      </c>
      <c r="L27" s="55">
        <v>1.711654599E9</v>
      </c>
      <c r="M27" s="56"/>
      <c r="N27" s="57" t="e">
        <v>#N/A</v>
      </c>
      <c r="O27" s="57" t="s">
        <v>1343</v>
      </c>
      <c r="P27" s="49">
        <f>vlookup(B27,'RAW DATA'!B:U,14,0)</f>
        <v>46265</v>
      </c>
    </row>
    <row r="28" ht="22.5" customHeight="1">
      <c r="A28" s="60" t="s">
        <v>100</v>
      </c>
      <c r="B28" s="67" t="s">
        <v>283</v>
      </c>
      <c r="C28" s="60" t="s">
        <v>1488</v>
      </c>
      <c r="D28" s="61">
        <v>35682.0</v>
      </c>
      <c r="E28" s="60" t="str">
        <f t="shared" si="1"/>
        <v>09 September 1997</v>
      </c>
      <c r="F28" s="60" t="s">
        <v>1489</v>
      </c>
      <c r="G28" s="60" t="str">
        <f t="shared" si="2"/>
        <v>TOLAI,09 September 1997</v>
      </c>
      <c r="H28" s="60" t="s">
        <v>1324</v>
      </c>
      <c r="I28" s="62" t="s">
        <v>1490</v>
      </c>
      <c r="J28" s="60" t="s">
        <v>1491</v>
      </c>
      <c r="K28" s="60" t="s">
        <v>1492</v>
      </c>
      <c r="L28" s="63">
        <v>7.795175946E9</v>
      </c>
      <c r="M28" s="64" t="s">
        <v>1493</v>
      </c>
      <c r="N28" s="64" t="s">
        <v>827</v>
      </c>
      <c r="O28" s="64" t="s">
        <v>1343</v>
      </c>
      <c r="P28" s="49">
        <f>vlookup(B28,'RAW DATA'!B:U,14,0)</f>
        <v>46265</v>
      </c>
    </row>
    <row r="29" ht="22.5" customHeight="1">
      <c r="A29" s="50" t="s">
        <v>100</v>
      </c>
      <c r="B29" s="50" t="s">
        <v>281</v>
      </c>
      <c r="C29" s="50" t="s">
        <v>1347</v>
      </c>
      <c r="D29" s="52">
        <v>38010.0</v>
      </c>
      <c r="E29" s="50" t="str">
        <f t="shared" si="1"/>
        <v>24 Januari 2004</v>
      </c>
      <c r="F29" s="50" t="s">
        <v>1494</v>
      </c>
      <c r="G29" s="44" t="str">
        <f t="shared" si="2"/>
        <v>Makassar,24 Januari 2004</v>
      </c>
      <c r="H29" s="50" t="s">
        <v>1324</v>
      </c>
      <c r="I29" s="53" t="s">
        <v>1495</v>
      </c>
      <c r="J29" s="50" t="s">
        <v>1345</v>
      </c>
      <c r="K29" s="50" t="s">
        <v>1496</v>
      </c>
      <c r="L29" s="55">
        <v>7.327362737E9</v>
      </c>
      <c r="M29" s="56"/>
      <c r="N29" s="57" t="s">
        <v>100</v>
      </c>
      <c r="O29" s="57" t="s">
        <v>1343</v>
      </c>
      <c r="P29" s="49">
        <f>vlookup(B29,'RAW DATA'!B:U,14,0)</f>
        <v>46265</v>
      </c>
    </row>
    <row r="30" ht="22.5" customHeight="1">
      <c r="A30" s="42" t="s">
        <v>126</v>
      </c>
      <c r="B30" s="42" t="s">
        <v>212</v>
      </c>
      <c r="C30" s="42" t="s">
        <v>1497</v>
      </c>
      <c r="D30" s="43">
        <v>35238.0</v>
      </c>
      <c r="E30" s="42" t="str">
        <f t="shared" si="1"/>
        <v>22 Juni 1996</v>
      </c>
      <c r="F30" s="42" t="s">
        <v>1450</v>
      </c>
      <c r="G30" s="44" t="str">
        <f t="shared" si="2"/>
        <v>Surabaya,22 Juni 1996</v>
      </c>
      <c r="H30" s="42" t="s">
        <v>1324</v>
      </c>
      <c r="I30" s="45" t="s">
        <v>1498</v>
      </c>
      <c r="J30" s="42" t="s">
        <v>1117</v>
      </c>
      <c r="K30" s="42" t="s">
        <v>1499</v>
      </c>
      <c r="L30" s="58">
        <v>5.190184422E9</v>
      </c>
      <c r="M30" s="47"/>
      <c r="N30" s="48" t="s">
        <v>126</v>
      </c>
      <c r="O30" s="48" t="s">
        <v>1343</v>
      </c>
      <c r="P30" s="49">
        <f>vlookup(B30,'RAW DATA'!B:U,14,0)</f>
        <v>46265</v>
      </c>
    </row>
    <row r="31" ht="22.5" customHeight="1">
      <c r="A31" s="50" t="s">
        <v>791</v>
      </c>
      <c r="B31" s="50" t="s">
        <v>1500</v>
      </c>
      <c r="C31" s="50" t="s">
        <v>1501</v>
      </c>
      <c r="D31" s="52">
        <v>37652.0</v>
      </c>
      <c r="E31" s="50" t="str">
        <f t="shared" si="1"/>
        <v>31 Januari 2003</v>
      </c>
      <c r="F31" s="50" t="s">
        <v>1368</v>
      </c>
      <c r="G31" s="44" t="str">
        <f t="shared" si="2"/>
        <v>Pandeglang ,31 Januari 2003</v>
      </c>
      <c r="H31" s="50" t="s">
        <v>1324</v>
      </c>
      <c r="I31" s="53" t="s">
        <v>1502</v>
      </c>
      <c r="J31" s="50" t="s">
        <v>671</v>
      </c>
      <c r="K31" s="50" t="s">
        <v>1503</v>
      </c>
      <c r="L31" s="55">
        <v>4.900427021E9</v>
      </c>
      <c r="M31" s="56"/>
      <c r="N31" s="57" t="s">
        <v>1109</v>
      </c>
      <c r="O31" s="57" t="s">
        <v>1343</v>
      </c>
      <c r="P31" s="49">
        <f>vlookup(B31,'RAW DATA'!B:U,14,0)</f>
        <v>46265</v>
      </c>
    </row>
    <row r="32" ht="22.5" customHeight="1">
      <c r="A32" s="42" t="s">
        <v>126</v>
      </c>
      <c r="B32" s="42" t="s">
        <v>369</v>
      </c>
      <c r="C32" s="42" t="s">
        <v>1504</v>
      </c>
      <c r="D32" s="43">
        <v>39026.0</v>
      </c>
      <c r="E32" s="42" t="str">
        <f t="shared" si="1"/>
        <v>05 November 2006</v>
      </c>
      <c r="F32" s="42" t="s">
        <v>1450</v>
      </c>
      <c r="G32" s="44" t="str">
        <f t="shared" si="2"/>
        <v>Surabaya,05 November 2006</v>
      </c>
      <c r="H32" s="42" t="s">
        <v>1324</v>
      </c>
      <c r="I32" s="45" t="s">
        <v>1505</v>
      </c>
      <c r="J32" s="42" t="s">
        <v>1506</v>
      </c>
      <c r="K32" s="42" t="s">
        <v>1507</v>
      </c>
      <c r="L32" s="58">
        <v>1.030769631E9</v>
      </c>
      <c r="M32" s="47"/>
      <c r="N32" s="48" t="s">
        <v>126</v>
      </c>
      <c r="O32" s="48" t="s">
        <v>1343</v>
      </c>
      <c r="P32" s="49">
        <f>vlookup(B32,'RAW DATA'!B:U,14,0)</f>
        <v>46265</v>
      </c>
    </row>
    <row r="33" ht="22.5" customHeight="1">
      <c r="A33" s="50" t="s">
        <v>126</v>
      </c>
      <c r="B33" s="50" t="s">
        <v>1142</v>
      </c>
      <c r="C33" s="50" t="s">
        <v>1508</v>
      </c>
      <c r="D33" s="52">
        <v>35663.0</v>
      </c>
      <c r="E33" s="50" t="str">
        <f t="shared" si="1"/>
        <v>21 Agustus 1997</v>
      </c>
      <c r="F33" s="50" t="s">
        <v>126</v>
      </c>
      <c r="G33" s="44" t="str">
        <f t="shared" si="2"/>
        <v>SURABAYA,21 Agustus 1997</v>
      </c>
      <c r="H33" s="50" t="s">
        <v>1374</v>
      </c>
      <c r="I33" s="53" t="s">
        <v>1509</v>
      </c>
      <c r="J33" s="50" t="s">
        <v>1131</v>
      </c>
      <c r="K33" s="50" t="s">
        <v>1510</v>
      </c>
      <c r="L33" s="55">
        <v>2.582405442E9</v>
      </c>
      <c r="M33" s="56"/>
      <c r="N33" s="57" t="s">
        <v>126</v>
      </c>
      <c r="O33" s="57" t="s">
        <v>1343</v>
      </c>
      <c r="P33" s="49">
        <f>vlookup(B33,'RAW DATA'!B:U,14,0)</f>
        <v>46265</v>
      </c>
    </row>
    <row r="34" ht="22.5" customHeight="1">
      <c r="A34" s="42" t="s">
        <v>214</v>
      </c>
      <c r="B34" s="42" t="s">
        <v>246</v>
      </c>
      <c r="C34" s="42" t="s">
        <v>1511</v>
      </c>
      <c r="D34" s="43">
        <v>33239.0</v>
      </c>
      <c r="E34" s="42" t="str">
        <f t="shared" si="1"/>
        <v>01 Januari 1991</v>
      </c>
      <c r="F34" s="42" t="s">
        <v>1512</v>
      </c>
      <c r="G34" s="44" t="str">
        <f t="shared" si="2"/>
        <v>Semarang,01 Januari 1991</v>
      </c>
      <c r="H34" s="42" t="s">
        <v>1324</v>
      </c>
      <c r="I34" s="45" t="s">
        <v>1513</v>
      </c>
      <c r="J34" s="42" t="s">
        <v>1514</v>
      </c>
      <c r="K34" s="42" t="s">
        <v>1515</v>
      </c>
      <c r="L34" s="58">
        <v>8.165474933E9</v>
      </c>
      <c r="M34" s="47"/>
      <c r="N34" s="48" t="s">
        <v>214</v>
      </c>
      <c r="O34" s="48" t="s">
        <v>1343</v>
      </c>
      <c r="P34" s="49">
        <f>vlookup(B34,'RAW DATA'!B:U,14,0)</f>
        <v>46265</v>
      </c>
    </row>
    <row r="35" ht="22.5" customHeight="1">
      <c r="A35" s="50" t="s">
        <v>844</v>
      </c>
      <c r="B35" s="50" t="s">
        <v>645</v>
      </c>
      <c r="C35" s="50" t="s">
        <v>1516</v>
      </c>
      <c r="D35" s="52">
        <v>37134.0</v>
      </c>
      <c r="E35" s="50" t="str">
        <f t="shared" si="1"/>
        <v>31 Agustus 2001</v>
      </c>
      <c r="F35" s="50" t="s">
        <v>1356</v>
      </c>
      <c r="G35" s="44" t="str">
        <f t="shared" si="2"/>
        <v>Balikpapan,31 Agustus 2001</v>
      </c>
      <c r="H35" s="50" t="s">
        <v>1324</v>
      </c>
      <c r="I35" s="53" t="s">
        <v>1517</v>
      </c>
      <c r="J35" s="50" t="s">
        <v>637</v>
      </c>
      <c r="K35" s="50" t="s">
        <v>1518</v>
      </c>
      <c r="L35" s="55">
        <v>7.810287131E9</v>
      </c>
      <c r="M35" s="56"/>
      <c r="N35" s="57" t="s">
        <v>844</v>
      </c>
      <c r="O35" s="57" t="s">
        <v>1343</v>
      </c>
      <c r="P35" s="49">
        <f>vlookup(B35,'RAW DATA'!B:U,14,0)</f>
        <v>46265</v>
      </c>
    </row>
    <row r="36" ht="22.5" customHeight="1">
      <c r="A36" s="42" t="s">
        <v>507</v>
      </c>
      <c r="B36" s="42" t="s">
        <v>242</v>
      </c>
      <c r="C36" s="42" t="s">
        <v>1519</v>
      </c>
      <c r="D36" s="43">
        <v>37747.0</v>
      </c>
      <c r="E36" s="42" t="str">
        <f t="shared" si="1"/>
        <v>06 Mei 2003</v>
      </c>
      <c r="F36" s="42" t="s">
        <v>1520</v>
      </c>
      <c r="G36" s="44" t="str">
        <f t="shared" si="2"/>
        <v>Selakau , Kalimantan barat Kabupaten Sambas,06 Mei 2003</v>
      </c>
      <c r="H36" s="42" t="s">
        <v>1324</v>
      </c>
      <c r="I36" s="45" t="s">
        <v>1521</v>
      </c>
      <c r="J36" s="42" t="s">
        <v>1223</v>
      </c>
      <c r="K36" s="42" t="s">
        <v>1522</v>
      </c>
      <c r="L36" s="58">
        <v>8.171876893E9</v>
      </c>
      <c r="M36" s="47"/>
      <c r="N36" s="48" t="s">
        <v>507</v>
      </c>
      <c r="O36" s="48" t="s">
        <v>1343</v>
      </c>
      <c r="P36" s="49">
        <f>vlookup(B36,'RAW DATA'!B:U,14,0)</f>
        <v>46265</v>
      </c>
    </row>
    <row r="37" ht="22.5" customHeight="1">
      <c r="A37" s="68" t="s">
        <v>108</v>
      </c>
      <c r="B37" s="68" t="s">
        <v>1523</v>
      </c>
      <c r="C37" s="68" t="s">
        <v>1524</v>
      </c>
      <c r="D37" s="69">
        <v>30064.0</v>
      </c>
      <c r="E37" s="68" t="str">
        <f t="shared" si="1"/>
        <v>23 April 1982</v>
      </c>
      <c r="F37" s="68" t="s">
        <v>1525</v>
      </c>
      <c r="G37" s="68" t="str">
        <f t="shared" si="2"/>
        <v>Palembang ,23 April 1982</v>
      </c>
      <c r="H37" s="68" t="s">
        <v>1324</v>
      </c>
      <c r="I37" s="70" t="s">
        <v>1526</v>
      </c>
      <c r="J37" s="68" t="s">
        <v>721</v>
      </c>
      <c r="K37" s="68" t="s">
        <v>1527</v>
      </c>
      <c r="L37" s="71" t="s">
        <v>1528</v>
      </c>
      <c r="M37" s="72"/>
      <c r="N37" s="73" t="e">
        <v>#N/A</v>
      </c>
      <c r="O37" s="73" t="s">
        <v>1529</v>
      </c>
      <c r="P37" s="74" t="str">
        <f>vlookup(B37,'RAW DATA'!B:U,14,0)</f>
        <v>#N/A</v>
      </c>
    </row>
    <row r="38" ht="22.5" customHeight="1">
      <c r="A38" s="60" t="s">
        <v>126</v>
      </c>
      <c r="B38" s="60" t="s">
        <v>1530</v>
      </c>
      <c r="C38" s="60" t="s">
        <v>1531</v>
      </c>
      <c r="D38" s="61">
        <v>30067.0</v>
      </c>
      <c r="E38" s="60" t="str">
        <f t="shared" si="1"/>
        <v>26 April 1982</v>
      </c>
      <c r="F38" s="60" t="s">
        <v>901</v>
      </c>
      <c r="G38" s="60" t="str">
        <f t="shared" si="2"/>
        <v>MALANG,26 April 1982</v>
      </c>
      <c r="H38" s="60" t="s">
        <v>1324</v>
      </c>
      <c r="I38" s="62" t="s">
        <v>1532</v>
      </c>
      <c r="J38" s="60" t="s">
        <v>1533</v>
      </c>
      <c r="K38" s="60" t="s">
        <v>1534</v>
      </c>
      <c r="L38" s="63">
        <v>8.161203041E9</v>
      </c>
      <c r="M38" s="75"/>
      <c r="N38" s="64" t="e">
        <v>#N/A</v>
      </c>
      <c r="O38" s="64" t="s">
        <v>1343</v>
      </c>
      <c r="P38" s="49">
        <f>vlookup(B38,'RAW DATA'!B:U,14,0)</f>
        <v>46265</v>
      </c>
    </row>
    <row r="39" ht="22.5" customHeight="1">
      <c r="A39" s="60" t="s">
        <v>100</v>
      </c>
      <c r="B39" s="60" t="s">
        <v>280</v>
      </c>
      <c r="C39" s="60" t="s">
        <v>1535</v>
      </c>
      <c r="D39" s="61">
        <v>36429.0</v>
      </c>
      <c r="E39" s="60" t="str">
        <f t="shared" si="1"/>
        <v>26 September 1999</v>
      </c>
      <c r="F39" s="60" t="s">
        <v>1536</v>
      </c>
      <c r="G39" s="60" t="str">
        <f t="shared" si="2"/>
        <v>Parigi,26 September 1999</v>
      </c>
      <c r="H39" s="60" t="s">
        <v>1324</v>
      </c>
      <c r="I39" s="62" t="s">
        <v>1537</v>
      </c>
      <c r="J39" s="60" t="s">
        <v>1341</v>
      </c>
      <c r="K39" s="60" t="s">
        <v>1538</v>
      </c>
      <c r="L39" s="63">
        <v>1.23456789E9</v>
      </c>
      <c r="M39" s="64" t="s">
        <v>1493</v>
      </c>
      <c r="N39" s="64" t="s">
        <v>827</v>
      </c>
      <c r="O39" s="64" t="s">
        <v>1343</v>
      </c>
      <c r="P39" s="49">
        <f>vlookup(B39,'RAW DATA'!B:U,14,0)</f>
        <v>46265</v>
      </c>
    </row>
    <row r="40" ht="22.5" customHeight="1">
      <c r="A40" s="42" t="s">
        <v>214</v>
      </c>
      <c r="B40" s="59" t="s">
        <v>247</v>
      </c>
      <c r="C40" s="42" t="s">
        <v>1539</v>
      </c>
      <c r="D40" s="43">
        <v>38188.0</v>
      </c>
      <c r="E40" s="42" t="str">
        <f t="shared" si="1"/>
        <v>20 Juli 2004</v>
      </c>
      <c r="F40" s="42" t="s">
        <v>1540</v>
      </c>
      <c r="G40" s="44" t="str">
        <f t="shared" si="2"/>
        <v>Semarang ,20 Juli 2004</v>
      </c>
      <c r="H40" s="42" t="s">
        <v>1324</v>
      </c>
      <c r="I40" s="45" t="s">
        <v>1541</v>
      </c>
      <c r="J40" s="42" t="s">
        <v>1542</v>
      </c>
      <c r="K40" s="42" t="s">
        <v>1543</v>
      </c>
      <c r="L40" s="58">
        <v>8.715675648E9</v>
      </c>
      <c r="M40" s="47"/>
      <c r="N40" s="48" t="e">
        <v>#N/A</v>
      </c>
      <c r="O40" s="48" t="s">
        <v>1343</v>
      </c>
      <c r="P40" s="49">
        <f>vlookup(B40,'RAW DATA'!B:U,14,0)</f>
        <v>46265</v>
      </c>
    </row>
    <row r="41" ht="22.5" customHeight="1">
      <c r="A41" s="50" t="s">
        <v>115</v>
      </c>
      <c r="B41" s="50" t="s">
        <v>186</v>
      </c>
      <c r="C41" s="50" t="s">
        <v>1544</v>
      </c>
      <c r="D41" s="52">
        <v>38831.0</v>
      </c>
      <c r="E41" s="50" t="str">
        <f t="shared" si="1"/>
        <v>24 April 2006</v>
      </c>
      <c r="F41" s="50" t="s">
        <v>1545</v>
      </c>
      <c r="G41" s="44" t="str">
        <f t="shared" si="2"/>
        <v>Samarinda ,24 April 2006</v>
      </c>
      <c r="H41" s="50" t="s">
        <v>1324</v>
      </c>
      <c r="I41" s="53" t="s">
        <v>1546</v>
      </c>
      <c r="J41" s="50" t="s">
        <v>910</v>
      </c>
      <c r="K41" s="50" t="s">
        <v>1547</v>
      </c>
      <c r="L41" s="55">
        <v>6.585260766E9</v>
      </c>
      <c r="M41" s="56"/>
      <c r="N41" s="57" t="s">
        <v>115</v>
      </c>
      <c r="O41" s="57" t="s">
        <v>1343</v>
      </c>
      <c r="P41" s="49">
        <f>vlookup(B41,'RAW DATA'!B:U,14,0)</f>
        <v>46265</v>
      </c>
    </row>
    <row r="42" ht="22.5" customHeight="1">
      <c r="A42" s="42" t="s">
        <v>239</v>
      </c>
      <c r="B42" s="42" t="s">
        <v>304</v>
      </c>
      <c r="C42" s="42" t="s">
        <v>1548</v>
      </c>
      <c r="D42" s="43">
        <v>36452.0</v>
      </c>
      <c r="E42" s="42" t="str">
        <f t="shared" si="1"/>
        <v>19 Oktober 1999</v>
      </c>
      <c r="F42" s="42" t="s">
        <v>1549</v>
      </c>
      <c r="G42" s="44" t="str">
        <f t="shared" si="2"/>
        <v>Medan,19 Oktober 1999</v>
      </c>
      <c r="H42" s="42" t="s">
        <v>1324</v>
      </c>
      <c r="I42" s="45" t="s">
        <v>1550</v>
      </c>
      <c r="J42" s="42" t="s">
        <v>1551</v>
      </c>
      <c r="K42" s="42" t="s">
        <v>1552</v>
      </c>
      <c r="L42" s="58">
        <v>8.19520339E9</v>
      </c>
      <c r="M42" s="47"/>
      <c r="N42" s="48" t="s">
        <v>239</v>
      </c>
      <c r="O42" s="48" t="s">
        <v>1343</v>
      </c>
      <c r="P42" s="49">
        <f>vlookup(B42,'RAW DATA'!B:U,14,0)</f>
        <v>46265</v>
      </c>
    </row>
    <row r="43" ht="22.5" customHeight="1">
      <c r="A43" s="50" t="s">
        <v>844</v>
      </c>
      <c r="B43" s="51" t="s">
        <v>1354</v>
      </c>
      <c r="C43" s="50" t="s">
        <v>1553</v>
      </c>
      <c r="D43" s="52">
        <v>35212.0</v>
      </c>
      <c r="E43" s="50" t="str">
        <f t="shared" si="1"/>
        <v>27 Mei 1996</v>
      </c>
      <c r="F43" s="50" t="s">
        <v>1554</v>
      </c>
      <c r="G43" s="44" t="str">
        <f t="shared" si="2"/>
        <v>LARANTUKA,27 Mei 1996</v>
      </c>
      <c r="H43" s="50" t="s">
        <v>1324</v>
      </c>
      <c r="I43" s="53" t="s">
        <v>1555</v>
      </c>
      <c r="J43" s="50" t="s">
        <v>1351</v>
      </c>
      <c r="K43" s="50" t="s">
        <v>1556</v>
      </c>
      <c r="L43" s="55">
        <v>6.965474688E9</v>
      </c>
      <c r="M43" s="56"/>
      <c r="N43" s="57" t="e">
        <v>#N/A</v>
      </c>
      <c r="O43" s="57" t="s">
        <v>1343</v>
      </c>
      <c r="P43" s="49">
        <f>vlookup(B43,'RAW DATA'!B:U,14,0)</f>
        <v>46265</v>
      </c>
    </row>
    <row r="44" ht="22.5" customHeight="1">
      <c r="A44" s="42" t="s">
        <v>458</v>
      </c>
      <c r="B44" s="42" t="s">
        <v>1557</v>
      </c>
      <c r="C44" s="42" t="s">
        <v>1558</v>
      </c>
      <c r="D44" s="43">
        <v>36896.0</v>
      </c>
      <c r="E44" s="42" t="str">
        <f t="shared" si="1"/>
        <v>05 Januari 2001</v>
      </c>
      <c r="F44" s="42" t="s">
        <v>1559</v>
      </c>
      <c r="G44" s="44" t="str">
        <f t="shared" si="2"/>
        <v>nias,05 Januari 2001</v>
      </c>
      <c r="H44" s="42" t="s">
        <v>1324</v>
      </c>
      <c r="I44" s="45" t="s">
        <v>1560</v>
      </c>
      <c r="J44" s="42" t="s">
        <v>1561</v>
      </c>
      <c r="K44" s="42" t="s">
        <v>1562</v>
      </c>
      <c r="L44" s="58">
        <v>8.250436638E9</v>
      </c>
      <c r="M44" s="47"/>
      <c r="N44" s="48" t="s">
        <v>458</v>
      </c>
      <c r="O44" s="48" t="s">
        <v>1343</v>
      </c>
      <c r="P44" s="49">
        <f>vlookup(B44,'RAW DATA'!B:U,14,0)</f>
        <v>46265</v>
      </c>
    </row>
    <row r="45" ht="22.5" customHeight="1">
      <c r="A45" s="50" t="s">
        <v>205</v>
      </c>
      <c r="B45" s="51" t="s">
        <v>183</v>
      </c>
      <c r="C45" s="50" t="s">
        <v>1563</v>
      </c>
      <c r="D45" s="52">
        <v>35383.0</v>
      </c>
      <c r="E45" s="50" t="str">
        <f t="shared" si="1"/>
        <v>14 November 1996</v>
      </c>
      <c r="F45" s="50" t="s">
        <v>1564</v>
      </c>
      <c r="G45" s="44" t="str">
        <f t="shared" si="2"/>
        <v>Bandung,14 November 1996</v>
      </c>
      <c r="H45" s="50" t="s">
        <v>1324</v>
      </c>
      <c r="I45" s="53" t="s">
        <v>1565</v>
      </c>
      <c r="J45" s="50" t="s">
        <v>872</v>
      </c>
      <c r="K45" s="50" t="s">
        <v>1566</v>
      </c>
      <c r="L45" s="55">
        <v>1.23456789E9</v>
      </c>
      <c r="M45" s="56"/>
      <c r="N45" s="57" t="e">
        <v>#N/A</v>
      </c>
      <c r="O45" s="57" t="s">
        <v>1343</v>
      </c>
      <c r="P45" s="49">
        <f>vlookup(B45,'RAW DATA'!B:U,14,0)</f>
        <v>46265</v>
      </c>
    </row>
    <row r="46" ht="22.5" customHeight="1">
      <c r="A46" s="42" t="s">
        <v>805</v>
      </c>
      <c r="B46" s="59" t="s">
        <v>1443</v>
      </c>
      <c r="C46" s="42" t="s">
        <v>1567</v>
      </c>
      <c r="D46" s="43">
        <v>38319.0</v>
      </c>
      <c r="E46" s="42" t="str">
        <f t="shared" si="1"/>
        <v>28 November 2004</v>
      </c>
      <c r="F46" s="42" t="s">
        <v>1568</v>
      </c>
      <c r="G46" s="44" t="str">
        <f t="shared" si="2"/>
        <v>SUBANG jawa barat,28 November 2004</v>
      </c>
      <c r="H46" s="42" t="s">
        <v>1324</v>
      </c>
      <c r="I46" s="45" t="s">
        <v>1446</v>
      </c>
      <c r="J46" s="42" t="s">
        <v>833</v>
      </c>
      <c r="K46" s="42" t="s">
        <v>805</v>
      </c>
      <c r="L46" s="58">
        <v>8.955628663E9</v>
      </c>
      <c r="M46" s="47"/>
      <c r="N46" s="48" t="e">
        <v>#N/A</v>
      </c>
      <c r="O46" s="48" t="s">
        <v>1343</v>
      </c>
      <c r="P46" s="49">
        <f>vlookup(B46,'RAW DATA'!B:U,14,0)</f>
        <v>46265</v>
      </c>
    </row>
    <row r="47" ht="22.5" customHeight="1">
      <c r="A47" s="50" t="s">
        <v>205</v>
      </c>
      <c r="B47" s="51" t="s">
        <v>210</v>
      </c>
      <c r="C47" s="50" t="s">
        <v>1569</v>
      </c>
      <c r="D47" s="52">
        <v>36862.0</v>
      </c>
      <c r="E47" s="50" t="str">
        <f t="shared" si="1"/>
        <v>02 Desember 2000</v>
      </c>
      <c r="F47" s="50" t="s">
        <v>1564</v>
      </c>
      <c r="G47" s="44" t="str">
        <f t="shared" si="2"/>
        <v>Bandung,02 Desember 2000</v>
      </c>
      <c r="H47" s="50" t="s">
        <v>1324</v>
      </c>
      <c r="I47" s="53" t="s">
        <v>1570</v>
      </c>
      <c r="J47" s="50" t="s">
        <v>1099</v>
      </c>
      <c r="K47" s="50" t="s">
        <v>1571</v>
      </c>
      <c r="L47" s="55">
        <v>2.832076288E9</v>
      </c>
      <c r="M47" s="56"/>
      <c r="N47" s="57" t="e">
        <v>#N/A</v>
      </c>
      <c r="O47" s="57" t="s">
        <v>1343</v>
      </c>
      <c r="P47" s="49">
        <f>vlookup(B47,'RAW DATA'!B:U,14,0)</f>
        <v>46265</v>
      </c>
    </row>
    <row r="48" ht="22.5" customHeight="1">
      <c r="A48" s="42" t="s">
        <v>239</v>
      </c>
      <c r="B48" s="42" t="s">
        <v>346</v>
      </c>
      <c r="C48" s="42" t="s">
        <v>1572</v>
      </c>
      <c r="D48" s="43">
        <v>35104.0</v>
      </c>
      <c r="E48" s="42" t="str">
        <f t="shared" si="1"/>
        <v>09 Februari 1996</v>
      </c>
      <c r="F48" s="42" t="s">
        <v>1573</v>
      </c>
      <c r="G48" s="44" t="str">
        <f t="shared" si="2"/>
        <v>Nias,09 Februari 1996</v>
      </c>
      <c r="H48" s="42" t="s">
        <v>1374</v>
      </c>
      <c r="I48" s="45" t="s">
        <v>1574</v>
      </c>
      <c r="J48" s="42" t="s">
        <v>1575</v>
      </c>
      <c r="K48" s="42" t="s">
        <v>1576</v>
      </c>
      <c r="L48" s="58">
        <v>8.205655901E9</v>
      </c>
      <c r="M48" s="47"/>
      <c r="N48" s="48" t="s">
        <v>239</v>
      </c>
      <c r="O48" s="48" t="s">
        <v>1343</v>
      </c>
      <c r="P48" s="49">
        <f>vlookup(B48,'RAW DATA'!B:U,14,0)</f>
        <v>46265</v>
      </c>
    </row>
    <row r="49" ht="22.5" customHeight="1">
      <c r="A49" s="50" t="s">
        <v>163</v>
      </c>
      <c r="B49" s="50" t="s">
        <v>1577</v>
      </c>
      <c r="C49" s="50" t="s">
        <v>1578</v>
      </c>
      <c r="D49" s="52">
        <v>35126.0</v>
      </c>
      <c r="E49" s="50" t="str">
        <f t="shared" si="1"/>
        <v>02 Maret 1996</v>
      </c>
      <c r="F49" s="50" t="s">
        <v>1579</v>
      </c>
      <c r="G49" s="44" t="str">
        <f t="shared" si="2"/>
        <v>Pekanbaru,02 Maret 1996</v>
      </c>
      <c r="H49" s="50" t="s">
        <v>1324</v>
      </c>
      <c r="I49" s="53" t="s">
        <v>1580</v>
      </c>
      <c r="J49" s="50" t="s">
        <v>1581</v>
      </c>
      <c r="K49" s="50" t="s">
        <v>1582</v>
      </c>
      <c r="L49" s="55">
        <v>8.455584686E9</v>
      </c>
      <c r="M49" s="56"/>
      <c r="N49" s="57" t="s">
        <v>163</v>
      </c>
      <c r="O49" s="57" t="s">
        <v>1343</v>
      </c>
      <c r="P49" s="49">
        <f>vlookup(B49,'RAW DATA'!B:U,14,0)</f>
        <v>46265</v>
      </c>
    </row>
    <row r="50" ht="22.5" customHeight="1">
      <c r="A50" s="60" t="s">
        <v>100</v>
      </c>
      <c r="B50" s="67" t="s">
        <v>1583</v>
      </c>
      <c r="C50" s="60" t="s">
        <v>1584</v>
      </c>
      <c r="D50" s="61">
        <v>37416.0</v>
      </c>
      <c r="E50" s="60" t="str">
        <f t="shared" si="1"/>
        <v>09 Juni 2002</v>
      </c>
      <c r="F50" s="60" t="s">
        <v>1585</v>
      </c>
      <c r="G50" s="60" t="str">
        <f t="shared" si="2"/>
        <v>Palu,09 Juni 2002</v>
      </c>
      <c r="H50" s="60" t="s">
        <v>1324</v>
      </c>
      <c r="I50" s="62" t="s">
        <v>1586</v>
      </c>
      <c r="J50" s="60" t="s">
        <v>1587</v>
      </c>
      <c r="K50" s="60" t="s">
        <v>1588</v>
      </c>
      <c r="L50" s="63">
        <v>7.795377255E9</v>
      </c>
      <c r="M50" s="64" t="s">
        <v>1493</v>
      </c>
      <c r="N50" s="64" t="s">
        <v>827</v>
      </c>
      <c r="O50" s="64" t="s">
        <v>1343</v>
      </c>
      <c r="P50" s="49" t="str">
        <f>vlookup(B50,'RAW DATA'!B:U,14,0)</f>
        <v/>
      </c>
    </row>
    <row r="51" ht="22.5" customHeight="1">
      <c r="A51" s="50" t="s">
        <v>78</v>
      </c>
      <c r="B51" s="51" t="s">
        <v>1589</v>
      </c>
      <c r="C51" s="50" t="s">
        <v>1590</v>
      </c>
      <c r="D51" s="52">
        <v>30059.0</v>
      </c>
      <c r="E51" s="50" t="str">
        <f t="shared" si="1"/>
        <v>18 April 1982</v>
      </c>
      <c r="F51" s="50" t="s">
        <v>1591</v>
      </c>
      <c r="G51" s="50" t="str">
        <f t="shared" si="2"/>
        <v>BANJARMASIN ,18 April 1982</v>
      </c>
      <c r="H51" s="50" t="s">
        <v>1324</v>
      </c>
      <c r="I51" s="53" t="s">
        <v>1592</v>
      </c>
      <c r="J51" s="50" t="s">
        <v>1593</v>
      </c>
      <c r="K51" s="50" t="s">
        <v>1594</v>
      </c>
      <c r="L51" s="66" t="s">
        <v>1595</v>
      </c>
      <c r="M51" s="56"/>
      <c r="N51" s="57" t="e">
        <v>#N/A</v>
      </c>
      <c r="O51" s="57" t="s">
        <v>1343</v>
      </c>
      <c r="P51" s="49">
        <f>vlookup(B51,'RAW DATA'!B:U,14,0)</f>
        <v>46265</v>
      </c>
    </row>
    <row r="52" ht="22.5" customHeight="1">
      <c r="A52" s="42" t="s">
        <v>852</v>
      </c>
      <c r="B52" s="59" t="s">
        <v>175</v>
      </c>
      <c r="C52" s="42" t="s">
        <v>1596</v>
      </c>
      <c r="D52" s="43">
        <v>35754.0</v>
      </c>
      <c r="E52" s="42" t="str">
        <f t="shared" si="1"/>
        <v>20 November 1997</v>
      </c>
      <c r="F52" s="42" t="s">
        <v>1597</v>
      </c>
      <c r="G52" s="44" t="str">
        <f t="shared" si="2"/>
        <v>Banyumas ,20 November 1997</v>
      </c>
      <c r="H52" s="42" t="s">
        <v>1324</v>
      </c>
      <c r="I52" s="45" t="s">
        <v>1598</v>
      </c>
      <c r="J52" s="42" t="s">
        <v>799</v>
      </c>
      <c r="K52" s="42" t="s">
        <v>1599</v>
      </c>
      <c r="L52" s="58">
        <v>1.801135019E9</v>
      </c>
      <c r="M52" s="47"/>
      <c r="N52" s="48" t="e">
        <v>#N/A</v>
      </c>
      <c r="O52" s="48" t="s">
        <v>1343</v>
      </c>
      <c r="P52" s="49">
        <f>vlookup(B52,'RAW DATA'!B:U,14,0)</f>
        <v>46265</v>
      </c>
    </row>
    <row r="53" ht="22.5" customHeight="1">
      <c r="A53" s="50" t="s">
        <v>1087</v>
      </c>
      <c r="B53" s="50" t="s">
        <v>1600</v>
      </c>
      <c r="C53" s="50" t="s">
        <v>1601</v>
      </c>
      <c r="D53" s="52">
        <v>34287.0</v>
      </c>
      <c r="E53" s="50" t="str">
        <f t="shared" si="1"/>
        <v>14 November 1993</v>
      </c>
      <c r="F53" s="50" t="s">
        <v>1602</v>
      </c>
      <c r="G53" s="50" t="str">
        <f t="shared" si="2"/>
        <v>Klaten,14 November 1993</v>
      </c>
      <c r="H53" s="50" t="s">
        <v>1324</v>
      </c>
      <c r="I53" s="53" t="s">
        <v>1603</v>
      </c>
      <c r="J53" s="50" t="s">
        <v>1604</v>
      </c>
      <c r="K53" s="50" t="s">
        <v>1605</v>
      </c>
      <c r="L53" s="66" t="s">
        <v>1606</v>
      </c>
      <c r="M53" s="56"/>
      <c r="N53" s="57" t="s">
        <v>1087</v>
      </c>
      <c r="O53" s="57" t="s">
        <v>1343</v>
      </c>
      <c r="P53" s="49">
        <f>vlookup(B53,'RAW DATA'!B:U,14,0)</f>
        <v>46265</v>
      </c>
    </row>
    <row r="54" ht="22.5" customHeight="1">
      <c r="A54" s="42" t="s">
        <v>844</v>
      </c>
      <c r="B54" s="59" t="s">
        <v>1607</v>
      </c>
      <c r="C54" s="42" t="s">
        <v>1608</v>
      </c>
      <c r="D54" s="43">
        <v>37775.0</v>
      </c>
      <c r="E54" s="42" t="str">
        <f t="shared" si="1"/>
        <v>03 Juni 2003</v>
      </c>
      <c r="F54" s="42" t="s">
        <v>1609</v>
      </c>
      <c r="G54" s="44" t="str">
        <f t="shared" si="2"/>
        <v>Balikpapan ,03 Juni 2003</v>
      </c>
      <c r="H54" s="42" t="s">
        <v>1324</v>
      </c>
      <c r="I54" s="45" t="s">
        <v>1610</v>
      </c>
      <c r="J54" s="42" t="s">
        <v>1611</v>
      </c>
      <c r="K54" s="42" t="s">
        <v>1612</v>
      </c>
      <c r="L54" s="58">
        <v>6.965360526E9</v>
      </c>
      <c r="M54" s="47"/>
      <c r="N54" s="48" t="e">
        <v>#N/A</v>
      </c>
      <c r="O54" s="48" t="s">
        <v>1343</v>
      </c>
      <c r="P54" s="49">
        <f>vlookup(B54,'RAW DATA'!B:U,14,0)</f>
        <v>46265</v>
      </c>
    </row>
    <row r="55" ht="22.5" customHeight="1">
      <c r="A55" s="50" t="s">
        <v>100</v>
      </c>
      <c r="B55" s="50" t="s">
        <v>267</v>
      </c>
      <c r="C55" s="50" t="s">
        <v>1613</v>
      </c>
      <c r="D55" s="52">
        <v>34283.0</v>
      </c>
      <c r="E55" s="50" t="str">
        <f t="shared" si="1"/>
        <v>10 November 1993</v>
      </c>
      <c r="F55" s="50" t="s">
        <v>1494</v>
      </c>
      <c r="G55" s="44" t="str">
        <f t="shared" si="2"/>
        <v>Makassar,10 November 1993</v>
      </c>
      <c r="H55" s="50" t="s">
        <v>1374</v>
      </c>
      <c r="I55" s="53" t="s">
        <v>1614</v>
      </c>
      <c r="J55" s="50" t="s">
        <v>1284</v>
      </c>
      <c r="K55" s="50" t="s">
        <v>1494</v>
      </c>
      <c r="L55" s="66" t="s">
        <v>1615</v>
      </c>
      <c r="M55" s="56"/>
      <c r="N55" s="57" t="s">
        <v>100</v>
      </c>
      <c r="O55" s="57" t="s">
        <v>1343</v>
      </c>
      <c r="P55" s="49">
        <f>vlookup(B55,'RAW DATA'!B:U,14,0)</f>
        <v>46265</v>
      </c>
    </row>
    <row r="56" ht="22.5" customHeight="1">
      <c r="A56" s="60" t="s">
        <v>1154</v>
      </c>
      <c r="B56" s="60" t="s">
        <v>123</v>
      </c>
      <c r="C56" s="60" t="s">
        <v>1616</v>
      </c>
      <c r="D56" s="61">
        <v>34959.0</v>
      </c>
      <c r="E56" s="60" t="str">
        <f t="shared" si="1"/>
        <v>17 September 1995</v>
      </c>
      <c r="F56" s="60" t="s">
        <v>1617</v>
      </c>
      <c r="G56" s="60" t="str">
        <f t="shared" si="2"/>
        <v>Lubuk linggau,17 September 1995</v>
      </c>
      <c r="H56" s="60" t="s">
        <v>1324</v>
      </c>
      <c r="I56" s="62" t="s">
        <v>1618</v>
      </c>
      <c r="J56" s="60" t="s">
        <v>1619</v>
      </c>
      <c r="K56" s="60" t="s">
        <v>1620</v>
      </c>
      <c r="L56" s="63">
        <v>6.245038783E9</v>
      </c>
      <c r="M56" s="64" t="s">
        <v>1621</v>
      </c>
      <c r="N56" s="64" t="s">
        <v>1154</v>
      </c>
      <c r="O56" s="64" t="s">
        <v>1343</v>
      </c>
      <c r="P56" s="49">
        <f>vlookup(B56,'RAW DATA'!B:U,14,0)</f>
        <v>46265</v>
      </c>
    </row>
    <row r="57" ht="22.5" customHeight="1">
      <c r="A57" s="50" t="s">
        <v>1106</v>
      </c>
      <c r="B57" s="50" t="s">
        <v>251</v>
      </c>
      <c r="C57" s="50" t="s">
        <v>1622</v>
      </c>
      <c r="D57" s="52">
        <v>36045.0</v>
      </c>
      <c r="E57" s="50" t="str">
        <f t="shared" si="1"/>
        <v>07 September 1998</v>
      </c>
      <c r="F57" s="50" t="s">
        <v>1623</v>
      </c>
      <c r="G57" s="50" t="str">
        <f t="shared" si="2"/>
        <v>Padang tikar,07 September 1998</v>
      </c>
      <c r="H57" s="50" t="s">
        <v>1374</v>
      </c>
      <c r="I57" s="53" t="s">
        <v>1624</v>
      </c>
      <c r="J57" s="50" t="s">
        <v>1249</v>
      </c>
      <c r="K57" s="50" t="s">
        <v>1625</v>
      </c>
      <c r="L57" s="66" t="s">
        <v>1626</v>
      </c>
      <c r="M57" s="56"/>
      <c r="N57" s="57" t="s">
        <v>1106</v>
      </c>
      <c r="O57" s="57" t="s">
        <v>1343</v>
      </c>
      <c r="P57" s="49">
        <f>vlookup(B57,'RAW DATA'!B:U,14,0)</f>
        <v>46265</v>
      </c>
    </row>
    <row r="58" ht="22.5" customHeight="1">
      <c r="A58" s="42" t="s">
        <v>922</v>
      </c>
      <c r="B58" s="42" t="s">
        <v>462</v>
      </c>
      <c r="C58" s="42" t="s">
        <v>1627</v>
      </c>
      <c r="D58" s="43">
        <v>34274.0</v>
      </c>
      <c r="E58" s="42" t="str">
        <f t="shared" si="1"/>
        <v>01 November 1993</v>
      </c>
      <c r="F58" s="42" t="s">
        <v>1628</v>
      </c>
      <c r="G58" s="42" t="str">
        <f t="shared" si="2"/>
        <v>KOTABARU,01 November 1993</v>
      </c>
      <c r="H58" s="42" t="s">
        <v>1324</v>
      </c>
      <c r="I58" s="45" t="s">
        <v>1629</v>
      </c>
      <c r="J58" s="42" t="s">
        <v>453</v>
      </c>
      <c r="K58" s="42" t="s">
        <v>921</v>
      </c>
      <c r="L58" s="58">
        <v>8.695108539E9</v>
      </c>
      <c r="M58" s="47"/>
      <c r="N58" s="48" t="s">
        <v>922</v>
      </c>
      <c r="O58" s="48" t="s">
        <v>1343</v>
      </c>
      <c r="P58" s="49">
        <f>vlookup(B58,'RAW DATA'!B:U,14,0)</f>
        <v>46265</v>
      </c>
    </row>
    <row r="59" ht="22.5" customHeight="1">
      <c r="A59" s="50" t="s">
        <v>1106</v>
      </c>
      <c r="B59" s="50" t="s">
        <v>187</v>
      </c>
      <c r="C59" s="50" t="s">
        <v>1630</v>
      </c>
      <c r="D59" s="52">
        <v>34969.0</v>
      </c>
      <c r="E59" s="50" t="str">
        <f t="shared" si="1"/>
        <v>27 September 1995</v>
      </c>
      <c r="F59" s="50" t="s">
        <v>1631</v>
      </c>
      <c r="G59" s="50" t="str">
        <f t="shared" si="2"/>
        <v>Bontang,27 September 1995</v>
      </c>
      <c r="H59" s="50" t="s">
        <v>1324</v>
      </c>
      <c r="I59" s="53" t="s">
        <v>1632</v>
      </c>
      <c r="J59" s="50" t="s">
        <v>929</v>
      </c>
      <c r="K59" s="50" t="s">
        <v>1633</v>
      </c>
      <c r="L59" s="55">
        <v>6.705117156E9</v>
      </c>
      <c r="M59" s="56"/>
      <c r="N59" s="57" t="s">
        <v>78</v>
      </c>
      <c r="O59" s="57" t="s">
        <v>1343</v>
      </c>
      <c r="P59" s="49">
        <f>vlookup(B59,'RAW DATA'!B:U,14,0)</f>
        <v>46265</v>
      </c>
    </row>
    <row r="60" ht="22.5" customHeight="1">
      <c r="A60" s="42" t="s">
        <v>729</v>
      </c>
      <c r="B60" s="59" t="s">
        <v>1634</v>
      </c>
      <c r="C60" s="42" t="s">
        <v>1635</v>
      </c>
      <c r="D60" s="43">
        <v>33849.0</v>
      </c>
      <c r="E60" s="42" t="str">
        <f t="shared" si="1"/>
        <v>02 September 1992</v>
      </c>
      <c r="F60" s="42" t="s">
        <v>1636</v>
      </c>
      <c r="G60" s="42" t="str">
        <f t="shared" si="2"/>
        <v>Gunungkidul ,02 September 1992</v>
      </c>
      <c r="H60" s="42" t="s">
        <v>1324</v>
      </c>
      <c r="I60" s="45" t="s">
        <v>1637</v>
      </c>
      <c r="J60" s="42" t="s">
        <v>1314</v>
      </c>
      <c r="K60" s="42" t="s">
        <v>1638</v>
      </c>
      <c r="L60" s="46" t="s">
        <v>1639</v>
      </c>
      <c r="M60" s="47"/>
      <c r="N60" s="48" t="e">
        <v>#N/A</v>
      </c>
      <c r="O60" s="48" t="s">
        <v>1343</v>
      </c>
      <c r="P60" s="49">
        <f>vlookup(B60,'RAW DATA'!B:U,14,0)</f>
        <v>46265</v>
      </c>
    </row>
    <row r="61" ht="22.5" customHeight="1">
      <c r="A61" s="50" t="s">
        <v>864</v>
      </c>
      <c r="B61" s="50" t="s">
        <v>474</v>
      </c>
      <c r="C61" s="50" t="s">
        <v>1640</v>
      </c>
      <c r="D61" s="52">
        <v>37477.0</v>
      </c>
      <c r="E61" s="50" t="str">
        <f t="shared" si="1"/>
        <v>09 Agustus 2002</v>
      </c>
      <c r="F61" s="50" t="s">
        <v>1641</v>
      </c>
      <c r="G61" s="50" t="str">
        <f t="shared" si="2"/>
        <v>MOJOKERTO,09 Agustus 2002</v>
      </c>
      <c r="H61" s="50" t="s">
        <v>1324</v>
      </c>
      <c r="I61" s="53" t="s">
        <v>1642</v>
      </c>
      <c r="J61" s="50" t="s">
        <v>466</v>
      </c>
      <c r="K61" s="50" t="s">
        <v>1643</v>
      </c>
      <c r="L61" s="55">
        <v>7.815831241E9</v>
      </c>
      <c r="M61" s="56"/>
      <c r="N61" s="57" t="s">
        <v>864</v>
      </c>
      <c r="O61" s="57" t="s">
        <v>1343</v>
      </c>
      <c r="P61" s="49">
        <f>vlookup(B61,'RAW DATA'!B:U,14,0)</f>
        <v>46265</v>
      </c>
    </row>
    <row r="62" ht="22.5" customHeight="1">
      <c r="A62" s="42" t="s">
        <v>1050</v>
      </c>
      <c r="B62" s="42" t="s">
        <v>311</v>
      </c>
      <c r="C62" s="42" t="s">
        <v>1644</v>
      </c>
      <c r="D62" s="43">
        <v>34671.0</v>
      </c>
      <c r="E62" s="42" t="str">
        <f t="shared" si="1"/>
        <v>03 Desember 1994</v>
      </c>
      <c r="F62" s="42" t="s">
        <v>1645</v>
      </c>
      <c r="G62" s="42" t="str">
        <f t="shared" si="2"/>
        <v>Tulungagung,03 Desember 1994</v>
      </c>
      <c r="H62" s="42" t="s">
        <v>1324</v>
      </c>
      <c r="I62" s="45" t="s">
        <v>1646</v>
      </c>
      <c r="J62" s="42" t="s">
        <v>1647</v>
      </c>
      <c r="K62" s="42" t="s">
        <v>1648</v>
      </c>
      <c r="L62" s="46" t="s">
        <v>1649</v>
      </c>
      <c r="M62" s="47"/>
      <c r="N62" s="48" t="s">
        <v>1050</v>
      </c>
      <c r="O62" s="48" t="s">
        <v>1343</v>
      </c>
      <c r="P62" s="49">
        <f>vlookup(B62,'RAW DATA'!B:U,14,0)</f>
        <v>46265</v>
      </c>
    </row>
    <row r="63" ht="22.5" customHeight="1">
      <c r="A63" s="50" t="s">
        <v>319</v>
      </c>
      <c r="B63" s="50" t="s">
        <v>318</v>
      </c>
      <c r="C63" s="50" t="s">
        <v>1650</v>
      </c>
      <c r="D63" s="52">
        <v>36521.0</v>
      </c>
      <c r="E63" s="50" t="str">
        <f t="shared" si="1"/>
        <v>27 Desember 1999</v>
      </c>
      <c r="F63" s="50" t="s">
        <v>1651</v>
      </c>
      <c r="G63" s="50" t="str">
        <f t="shared" si="2"/>
        <v>Padang,27 Desember 1999</v>
      </c>
      <c r="H63" s="50" t="s">
        <v>1324</v>
      </c>
      <c r="I63" s="53" t="s">
        <v>1652</v>
      </c>
      <c r="J63" s="50" t="s">
        <v>1653</v>
      </c>
      <c r="K63" s="50" t="s">
        <v>1654</v>
      </c>
      <c r="L63" s="55">
        <v>1.630588509E9</v>
      </c>
      <c r="M63" s="56"/>
      <c r="N63" s="57" t="s">
        <v>319</v>
      </c>
      <c r="O63" s="57" t="s">
        <v>1343</v>
      </c>
      <c r="P63" s="49">
        <f>vlookup(B63,'RAW DATA'!B:U,14,0)</f>
        <v>46265</v>
      </c>
    </row>
    <row r="64" ht="22.5" customHeight="1">
      <c r="A64" s="42" t="s">
        <v>214</v>
      </c>
      <c r="B64" s="42" t="s">
        <v>52</v>
      </c>
      <c r="C64" s="42" t="s">
        <v>1655</v>
      </c>
      <c r="D64" s="43">
        <v>37458.0</v>
      </c>
      <c r="E64" s="42" t="str">
        <f t="shared" si="1"/>
        <v>21 Juli 2002</v>
      </c>
      <c r="F64" s="42" t="s">
        <v>1656</v>
      </c>
      <c r="G64" s="42" t="str">
        <f t="shared" si="2"/>
        <v>Garut,21 Juli 2002</v>
      </c>
      <c r="H64" s="42" t="s">
        <v>1324</v>
      </c>
      <c r="I64" s="45" t="s">
        <v>1657</v>
      </c>
      <c r="J64" s="42" t="s">
        <v>349</v>
      </c>
      <c r="K64" s="42" t="s">
        <v>1658</v>
      </c>
      <c r="L64" s="58">
        <v>2.801851268E9</v>
      </c>
      <c r="M64" s="47"/>
      <c r="N64" s="48" t="s">
        <v>214</v>
      </c>
      <c r="O64" s="48" t="s">
        <v>1343</v>
      </c>
      <c r="P64" s="49">
        <f>vlookup(B64,'RAW DATA'!B:U,14,0)</f>
        <v>46265</v>
      </c>
    </row>
    <row r="65" ht="22.5" customHeight="1">
      <c r="A65" s="50" t="s">
        <v>205</v>
      </c>
      <c r="B65" s="50" t="s">
        <v>67</v>
      </c>
      <c r="C65" s="50" t="s">
        <v>1659</v>
      </c>
      <c r="D65" s="52">
        <v>36483.0</v>
      </c>
      <c r="E65" s="50" t="str">
        <f t="shared" si="1"/>
        <v>19 November 1999</v>
      </c>
      <c r="F65" s="50" t="s">
        <v>1564</v>
      </c>
      <c r="G65" s="50" t="str">
        <f t="shared" si="2"/>
        <v>Bandung,19 November 1999</v>
      </c>
      <c r="H65" s="50" t="s">
        <v>1324</v>
      </c>
      <c r="I65" s="53" t="s">
        <v>1660</v>
      </c>
      <c r="J65" s="50" t="s">
        <v>440</v>
      </c>
      <c r="K65" s="50" t="s">
        <v>1661</v>
      </c>
      <c r="L65" s="55">
        <v>3.760618135E9</v>
      </c>
      <c r="M65" s="56"/>
      <c r="N65" s="57" t="s">
        <v>205</v>
      </c>
      <c r="O65" s="57" t="s">
        <v>1343</v>
      </c>
      <c r="P65" s="49">
        <f>vlookup(B65,'RAW DATA'!B:U,14,0)</f>
        <v>46265</v>
      </c>
    </row>
    <row r="66" ht="22.5" customHeight="1">
      <c r="A66" s="42" t="s">
        <v>1150</v>
      </c>
      <c r="B66" s="42" t="s">
        <v>199</v>
      </c>
      <c r="C66" s="42" t="s">
        <v>1662</v>
      </c>
      <c r="D66" s="43">
        <v>37304.0</v>
      </c>
      <c r="E66" s="42" t="str">
        <f t="shared" si="1"/>
        <v>17 Februari 2002</v>
      </c>
      <c r="F66" s="42" t="s">
        <v>1663</v>
      </c>
      <c r="G66" s="42" t="str">
        <f t="shared" si="2"/>
        <v>Cirebon,17 Februari 2002</v>
      </c>
      <c r="H66" s="42" t="s">
        <v>1324</v>
      </c>
      <c r="I66" s="45" t="s">
        <v>1664</v>
      </c>
      <c r="J66" s="42" t="s">
        <v>1020</v>
      </c>
      <c r="K66" s="42" t="s">
        <v>1663</v>
      </c>
      <c r="L66" s="58">
        <v>7.746551729E9</v>
      </c>
      <c r="M66" s="47"/>
      <c r="N66" s="48" t="s">
        <v>1150</v>
      </c>
      <c r="O66" s="48" t="s">
        <v>1343</v>
      </c>
      <c r="P66" s="49">
        <f>vlookup(B66,'RAW DATA'!B:U,14,0)</f>
        <v>46265</v>
      </c>
    </row>
    <row r="67" ht="22.5" customHeight="1">
      <c r="A67" s="50" t="s">
        <v>892</v>
      </c>
      <c r="B67" s="50" t="s">
        <v>166</v>
      </c>
      <c r="C67" s="50" t="s">
        <v>1665</v>
      </c>
      <c r="D67" s="52">
        <v>38030.0</v>
      </c>
      <c r="E67" s="50" t="str">
        <f t="shared" si="1"/>
        <v>13 Februari 2004</v>
      </c>
      <c r="F67" s="50" t="s">
        <v>1631</v>
      </c>
      <c r="G67" s="50" t="str">
        <f t="shared" si="2"/>
        <v>Bontang,13 Februari 2004</v>
      </c>
      <c r="H67" s="50" t="s">
        <v>1324</v>
      </c>
      <c r="I67" s="53" t="s">
        <v>1666</v>
      </c>
      <c r="J67" s="50" t="s">
        <v>732</v>
      </c>
      <c r="K67" s="50" t="s">
        <v>1667</v>
      </c>
      <c r="L67" s="55">
        <v>6.705379401E9</v>
      </c>
      <c r="M67" s="56"/>
      <c r="N67" s="57" t="s">
        <v>892</v>
      </c>
      <c r="O67" s="57" t="s">
        <v>1343</v>
      </c>
      <c r="P67" s="49">
        <f>vlookup(B67,'RAW DATA'!B:U,14,0)</f>
        <v>46265</v>
      </c>
    </row>
    <row r="68" ht="22.5" customHeight="1">
      <c r="A68" s="42" t="s">
        <v>239</v>
      </c>
      <c r="B68" s="42" t="s">
        <v>545</v>
      </c>
      <c r="C68" s="42" t="s">
        <v>1668</v>
      </c>
      <c r="D68" s="43">
        <v>36223.0</v>
      </c>
      <c r="E68" s="42" t="str">
        <f t="shared" si="1"/>
        <v>04 Maret 1999</v>
      </c>
      <c r="F68" s="42" t="s">
        <v>239</v>
      </c>
      <c r="G68" s="42" t="str">
        <f t="shared" si="2"/>
        <v>MEDAN,04 Maret 1999</v>
      </c>
      <c r="H68" s="42" t="s">
        <v>1324</v>
      </c>
      <c r="I68" s="45" t="s">
        <v>1669</v>
      </c>
      <c r="J68" s="42" t="s">
        <v>538</v>
      </c>
      <c r="K68" s="42" t="s">
        <v>1670</v>
      </c>
      <c r="L68" s="58">
        <v>5.585001675E9</v>
      </c>
      <c r="M68" s="47"/>
      <c r="N68" s="48" t="s">
        <v>239</v>
      </c>
      <c r="O68" s="48" t="s">
        <v>1343</v>
      </c>
      <c r="P68" s="49">
        <f>vlookup(B68,'RAW DATA'!B:U,14,0)</f>
        <v>46265</v>
      </c>
    </row>
    <row r="69" ht="22.5" customHeight="1">
      <c r="A69" s="50" t="s">
        <v>729</v>
      </c>
      <c r="B69" s="50" t="s">
        <v>141</v>
      </c>
      <c r="C69" s="50" t="s">
        <v>1671</v>
      </c>
      <c r="D69" s="52">
        <v>31634.0</v>
      </c>
      <c r="E69" s="50" t="str">
        <f t="shared" si="1"/>
        <v>10 Agustus 1986</v>
      </c>
      <c r="F69" s="50" t="s">
        <v>1672</v>
      </c>
      <c r="G69" s="50" t="str">
        <f t="shared" si="2"/>
        <v>Yogyakarta,10 Agustus 1986</v>
      </c>
      <c r="H69" s="50" t="s">
        <v>1324</v>
      </c>
      <c r="I69" s="53" t="s">
        <v>1673</v>
      </c>
      <c r="J69" s="50" t="s">
        <v>626</v>
      </c>
      <c r="K69" s="50" t="s">
        <v>1674</v>
      </c>
      <c r="L69" s="55">
        <v>1.690194631E9</v>
      </c>
      <c r="M69" s="56"/>
      <c r="N69" s="57" t="s">
        <v>729</v>
      </c>
      <c r="O69" s="57" t="s">
        <v>1343</v>
      </c>
      <c r="P69" s="49">
        <f>vlookup(B69,'RAW DATA'!B:U,14,0)</f>
        <v>46265</v>
      </c>
    </row>
    <row r="70" ht="22.5" customHeight="1">
      <c r="A70" s="42" t="s">
        <v>100</v>
      </c>
      <c r="B70" s="42" t="s">
        <v>135</v>
      </c>
      <c r="C70" s="42" t="s">
        <v>1675</v>
      </c>
      <c r="D70" s="43">
        <v>34354.0</v>
      </c>
      <c r="E70" s="42" t="str">
        <f t="shared" si="1"/>
        <v>20 Januari 1994</v>
      </c>
      <c r="F70" s="42" t="s">
        <v>1676</v>
      </c>
      <c r="G70" s="42" t="str">
        <f t="shared" si="2"/>
        <v>luwu utara,20 Januari 1994</v>
      </c>
      <c r="H70" s="42" t="s">
        <v>1324</v>
      </c>
      <c r="I70" s="45" t="s">
        <v>1677</v>
      </c>
      <c r="J70" s="42" t="s">
        <v>596</v>
      </c>
      <c r="K70" s="42" t="s">
        <v>1678</v>
      </c>
      <c r="L70" s="58">
        <v>7.990187805E9</v>
      </c>
      <c r="M70" s="47"/>
      <c r="N70" s="48" t="s">
        <v>100</v>
      </c>
      <c r="O70" s="48" t="s">
        <v>1343</v>
      </c>
      <c r="P70" s="49">
        <f>vlookup(B70,'RAW DATA'!B:U,14,0)</f>
        <v>46265</v>
      </c>
    </row>
    <row r="71" ht="22.5" customHeight="1">
      <c r="A71" s="50" t="s">
        <v>239</v>
      </c>
      <c r="B71" s="50" t="s">
        <v>261</v>
      </c>
      <c r="C71" s="50" t="s">
        <v>1679</v>
      </c>
      <c r="D71" s="52">
        <v>36422.0</v>
      </c>
      <c r="E71" s="50" t="str">
        <f t="shared" si="1"/>
        <v>19 September 1999</v>
      </c>
      <c r="F71" s="50" t="s">
        <v>1680</v>
      </c>
      <c r="G71" s="50" t="str">
        <f t="shared" si="2"/>
        <v>Payakumbuh,19 September 1999</v>
      </c>
      <c r="H71" s="50" t="s">
        <v>1374</v>
      </c>
      <c r="I71" s="53" t="s">
        <v>1681</v>
      </c>
      <c r="J71" s="50" t="s">
        <v>1682</v>
      </c>
      <c r="K71" s="50" t="s">
        <v>761</v>
      </c>
      <c r="L71" s="55">
        <v>2.421392678E9</v>
      </c>
      <c r="M71" s="56"/>
      <c r="N71" s="57" t="s">
        <v>239</v>
      </c>
      <c r="O71" s="57" t="s">
        <v>1343</v>
      </c>
      <c r="P71" s="49">
        <f>vlookup(B71,'RAW DATA'!B:U,14,0)</f>
        <v>46265</v>
      </c>
    </row>
    <row r="72" ht="22.5" customHeight="1">
      <c r="A72" s="42" t="s">
        <v>936</v>
      </c>
      <c r="B72" s="42" t="s">
        <v>1683</v>
      </c>
      <c r="C72" s="42" t="s">
        <v>1684</v>
      </c>
      <c r="D72" s="43">
        <v>35211.0</v>
      </c>
      <c r="E72" s="42" t="str">
        <f t="shared" si="1"/>
        <v>26 Mei 1996</v>
      </c>
      <c r="F72" s="42" t="s">
        <v>1685</v>
      </c>
      <c r="G72" s="42" t="str">
        <f t="shared" si="2"/>
        <v>Bandar lampung,26 Mei 1996</v>
      </c>
      <c r="H72" s="42" t="s">
        <v>1324</v>
      </c>
      <c r="I72" s="45" t="s">
        <v>1686</v>
      </c>
      <c r="J72" s="42" t="s">
        <v>1687</v>
      </c>
      <c r="K72" s="42" t="s">
        <v>1688</v>
      </c>
      <c r="L72" s="46" t="s">
        <v>1689</v>
      </c>
      <c r="M72" s="47"/>
      <c r="N72" s="48" t="s">
        <v>659</v>
      </c>
      <c r="O72" s="48" t="s">
        <v>1343</v>
      </c>
      <c r="P72" s="49">
        <f>vlookup(B72,'RAW DATA'!B:U,14,0)</f>
        <v>46265</v>
      </c>
    </row>
    <row r="73" ht="22.5" customHeight="1">
      <c r="A73" s="60" t="s">
        <v>873</v>
      </c>
      <c r="B73" s="60" t="s">
        <v>208</v>
      </c>
      <c r="C73" s="60" t="s">
        <v>1690</v>
      </c>
      <c r="D73" s="61">
        <v>34644.0</v>
      </c>
      <c r="E73" s="60" t="str">
        <f t="shared" si="1"/>
        <v>06 November 1994</v>
      </c>
      <c r="F73" s="60" t="s">
        <v>1691</v>
      </c>
      <c r="G73" s="60" t="str">
        <f t="shared" si="2"/>
        <v>Mataram,06 November 1994</v>
      </c>
      <c r="H73" s="60" t="s">
        <v>1324</v>
      </c>
      <c r="I73" s="62" t="s">
        <v>1692</v>
      </c>
      <c r="J73" s="60" t="s">
        <v>1083</v>
      </c>
      <c r="K73" s="60" t="s">
        <v>1693</v>
      </c>
      <c r="L73" s="78" t="s">
        <v>1694</v>
      </c>
      <c r="M73" s="64" t="s">
        <v>1400</v>
      </c>
      <c r="N73" s="64" t="s">
        <v>873</v>
      </c>
      <c r="O73" s="64" t="s">
        <v>1343</v>
      </c>
      <c r="P73" s="49">
        <f>vlookup(B73,'RAW DATA'!B:U,14,0)</f>
        <v>46265</v>
      </c>
    </row>
    <row r="74" ht="22.5" customHeight="1">
      <c r="A74" s="60" t="s">
        <v>873</v>
      </c>
      <c r="B74" s="60" t="s">
        <v>870</v>
      </c>
      <c r="C74" s="60" t="s">
        <v>1695</v>
      </c>
      <c r="D74" s="61">
        <v>35751.0</v>
      </c>
      <c r="E74" s="60" t="str">
        <f t="shared" si="1"/>
        <v>17 November 1997</v>
      </c>
      <c r="F74" s="60" t="s">
        <v>1696</v>
      </c>
      <c r="G74" s="60" t="str">
        <f t="shared" si="2"/>
        <v>Sumbawa,17 November 1997</v>
      </c>
      <c r="H74" s="60" t="s">
        <v>1374</v>
      </c>
      <c r="I74" s="62" t="s">
        <v>1697</v>
      </c>
      <c r="J74" s="60" t="s">
        <v>747</v>
      </c>
      <c r="K74" s="60" t="s">
        <v>1691</v>
      </c>
      <c r="L74" s="78" t="s">
        <v>1698</v>
      </c>
      <c r="M74" s="64" t="s">
        <v>1400</v>
      </c>
      <c r="N74" s="64" t="e">
        <v>#N/A</v>
      </c>
      <c r="O74" s="64" t="s">
        <v>1343</v>
      </c>
      <c r="P74" s="49">
        <f>vlookup(B74,'RAW DATA'!B:U,14,0)</f>
        <v>46265</v>
      </c>
    </row>
    <row r="75" ht="22.5" customHeight="1">
      <c r="A75" s="50" t="s">
        <v>100</v>
      </c>
      <c r="B75" s="50" t="s">
        <v>1699</v>
      </c>
      <c r="C75" s="50" t="s">
        <v>1700</v>
      </c>
      <c r="D75" s="52">
        <v>35910.0</v>
      </c>
      <c r="E75" s="50" t="str">
        <f t="shared" si="1"/>
        <v>25 April 1998</v>
      </c>
      <c r="F75" s="50" t="s">
        <v>1494</v>
      </c>
      <c r="G75" s="50" t="str">
        <f t="shared" si="2"/>
        <v>Makassar,25 April 1998</v>
      </c>
      <c r="H75" s="50" t="s">
        <v>1374</v>
      </c>
      <c r="I75" s="53" t="s">
        <v>1701</v>
      </c>
      <c r="J75" s="50" t="s">
        <v>1702</v>
      </c>
      <c r="K75" s="50" t="s">
        <v>1703</v>
      </c>
      <c r="L75" s="55">
        <v>7.685985489E9</v>
      </c>
      <c r="M75" s="56"/>
      <c r="N75" s="57" t="s">
        <v>100</v>
      </c>
      <c r="O75" s="57" t="s">
        <v>1343</v>
      </c>
      <c r="P75" s="49">
        <f>vlookup(B75,'RAW DATA'!B:U,14,0)</f>
        <v>46265</v>
      </c>
    </row>
    <row r="76" ht="22.5" customHeight="1">
      <c r="A76" s="42" t="s">
        <v>126</v>
      </c>
      <c r="B76" s="42" t="s">
        <v>1704</v>
      </c>
      <c r="C76" s="42" t="s">
        <v>1705</v>
      </c>
      <c r="D76" s="43">
        <v>35129.0</v>
      </c>
      <c r="E76" s="42" t="str">
        <f t="shared" si="1"/>
        <v>05 Maret 1996</v>
      </c>
      <c r="F76" s="42" t="s">
        <v>1645</v>
      </c>
      <c r="G76" s="42" t="str">
        <f t="shared" si="2"/>
        <v>Tulungagung,05 Maret 1996</v>
      </c>
      <c r="H76" s="42" t="s">
        <v>1324</v>
      </c>
      <c r="I76" s="45" t="s">
        <v>1706</v>
      </c>
      <c r="J76" s="42" t="s">
        <v>1707</v>
      </c>
      <c r="K76" s="42" t="s">
        <v>1708</v>
      </c>
      <c r="L76" s="58">
        <v>1.011824809E9</v>
      </c>
      <c r="M76" s="47"/>
      <c r="N76" s="48" t="s">
        <v>126</v>
      </c>
      <c r="O76" s="48" t="s">
        <v>1343</v>
      </c>
      <c r="P76" s="49">
        <f>vlookup(B76,'RAW DATA'!B:U,14,0)</f>
        <v>46265</v>
      </c>
    </row>
    <row r="77" ht="22.5" customHeight="1">
      <c r="A77" s="50" t="s">
        <v>78</v>
      </c>
      <c r="B77" s="50" t="s">
        <v>1709</v>
      </c>
      <c r="C77" s="50" t="s">
        <v>1710</v>
      </c>
      <c r="D77" s="52">
        <v>32431.0</v>
      </c>
      <c r="E77" s="50" t="str">
        <f t="shared" si="1"/>
        <v>15 Oktober 1988</v>
      </c>
      <c r="F77" s="50" t="s">
        <v>1711</v>
      </c>
      <c r="G77" s="50" t="str">
        <f t="shared" si="2"/>
        <v>banjarmasin,15 Oktober 1988</v>
      </c>
      <c r="H77" s="50" t="s">
        <v>1324</v>
      </c>
      <c r="I77" s="53" t="s">
        <v>1712</v>
      </c>
      <c r="J77" s="50" t="s">
        <v>1713</v>
      </c>
      <c r="K77" s="50" t="s">
        <v>1714</v>
      </c>
      <c r="L77" s="55">
        <v>8.275634804E9</v>
      </c>
      <c r="M77" s="56"/>
      <c r="N77" s="57" t="e">
        <v>#N/A</v>
      </c>
      <c r="O77" s="57" t="s">
        <v>1343</v>
      </c>
      <c r="P77" s="49">
        <f>vlookup(B77,'RAW DATA'!B:U,14,0)</f>
        <v>46265</v>
      </c>
    </row>
    <row r="78" ht="22.5" customHeight="1">
      <c r="A78" s="42" t="s">
        <v>844</v>
      </c>
      <c r="B78" s="42" t="s">
        <v>1715</v>
      </c>
      <c r="C78" s="42" t="s">
        <v>1716</v>
      </c>
      <c r="D78" s="43">
        <v>37670.0</v>
      </c>
      <c r="E78" s="42" t="str">
        <f t="shared" si="1"/>
        <v>18 Februari 2003</v>
      </c>
      <c r="F78" s="42" t="s">
        <v>1356</v>
      </c>
      <c r="G78" s="42" t="str">
        <f t="shared" si="2"/>
        <v>Balikpapan,18 Februari 2003</v>
      </c>
      <c r="H78" s="42" t="s">
        <v>1324</v>
      </c>
      <c r="I78" s="45" t="s">
        <v>1717</v>
      </c>
      <c r="J78" s="42" t="s">
        <v>1718</v>
      </c>
      <c r="K78" s="42" t="s">
        <v>1719</v>
      </c>
      <c r="L78" s="58">
        <v>1.23456789E9</v>
      </c>
      <c r="M78" s="47"/>
      <c r="N78" s="48" t="s">
        <v>844</v>
      </c>
      <c r="O78" s="48" t="s">
        <v>1343</v>
      </c>
      <c r="P78" s="49">
        <f>vlookup(B78,'RAW DATA'!B:U,14,0)</f>
        <v>46265</v>
      </c>
    </row>
    <row r="79" ht="22.5" customHeight="1">
      <c r="A79" s="50" t="s">
        <v>78</v>
      </c>
      <c r="B79" s="50" t="s">
        <v>1720</v>
      </c>
      <c r="C79" s="50" t="s">
        <v>1721</v>
      </c>
      <c r="D79" s="52">
        <v>32011.0</v>
      </c>
      <c r="E79" s="50" t="str">
        <f t="shared" si="1"/>
        <v>22 Agustus 1987</v>
      </c>
      <c r="F79" s="50" t="s">
        <v>1722</v>
      </c>
      <c r="G79" s="50" t="str">
        <f t="shared" si="2"/>
        <v>Jember,22 Agustus 1987</v>
      </c>
      <c r="H79" s="50" t="s">
        <v>1324</v>
      </c>
      <c r="I79" s="53" t="s">
        <v>1723</v>
      </c>
      <c r="J79" s="50" t="s">
        <v>1724</v>
      </c>
      <c r="K79" s="50" t="s">
        <v>1725</v>
      </c>
      <c r="L79" s="55">
        <v>8.275329891E9</v>
      </c>
      <c r="M79" s="56"/>
      <c r="N79" s="57" t="s">
        <v>78</v>
      </c>
      <c r="O79" s="57" t="s">
        <v>1343</v>
      </c>
      <c r="P79" s="49">
        <f>vlookup(B79,'RAW DATA'!B:U,14,0)</f>
        <v>46265</v>
      </c>
    </row>
    <row r="80" ht="22.5" customHeight="1">
      <c r="A80" s="42" t="s">
        <v>115</v>
      </c>
      <c r="B80" s="42" t="s">
        <v>372</v>
      </c>
      <c r="C80" s="42" t="s">
        <v>1726</v>
      </c>
      <c r="D80" s="43">
        <v>38370.0</v>
      </c>
      <c r="E80" s="42" t="str">
        <f t="shared" si="1"/>
        <v>18 Januari 2005</v>
      </c>
      <c r="F80" s="42" t="s">
        <v>1727</v>
      </c>
      <c r="G80" s="42" t="str">
        <f t="shared" si="2"/>
        <v>Beloro,18 Januari 2005</v>
      </c>
      <c r="H80" s="42" t="s">
        <v>1324</v>
      </c>
      <c r="I80" s="45" t="s">
        <v>1728</v>
      </c>
      <c r="J80" s="42" t="s">
        <v>1729</v>
      </c>
      <c r="K80" s="42" t="s">
        <v>1730</v>
      </c>
      <c r="L80" s="58">
        <v>8.355379767E9</v>
      </c>
      <c r="M80" s="47"/>
      <c r="N80" s="48" t="s">
        <v>115</v>
      </c>
      <c r="O80" s="48"/>
      <c r="P80" s="49">
        <f>vlookup(B80,'RAW DATA'!B:U,14,0)</f>
        <v>46265</v>
      </c>
    </row>
    <row r="81" ht="22.5" customHeight="1">
      <c r="A81" s="50" t="s">
        <v>729</v>
      </c>
      <c r="B81" s="51" t="s">
        <v>393</v>
      </c>
      <c r="C81" s="50" t="s">
        <v>1731</v>
      </c>
      <c r="D81" s="52">
        <v>32855.0</v>
      </c>
      <c r="E81" s="50" t="str">
        <f t="shared" si="1"/>
        <v>13 Desember 1989</v>
      </c>
      <c r="F81" s="50" t="s">
        <v>1732</v>
      </c>
      <c r="G81" s="50" t="str">
        <f t="shared" si="2"/>
        <v>Sleman,13 Desember 1989</v>
      </c>
      <c r="H81" s="50" t="s">
        <v>1324</v>
      </c>
      <c r="I81" s="53" t="s">
        <v>1733</v>
      </c>
      <c r="J81" s="50" t="s">
        <v>1734</v>
      </c>
      <c r="K81" s="50" t="s">
        <v>1735</v>
      </c>
      <c r="L81" s="55">
        <v>6.975025415E9</v>
      </c>
      <c r="M81" s="56"/>
      <c r="N81" s="57" t="e">
        <v>#N/A</v>
      </c>
      <c r="O81" s="57" t="s">
        <v>1343</v>
      </c>
      <c r="P81" s="49">
        <f>vlookup(B81,'RAW DATA'!B:U,14,0)</f>
        <v>46265</v>
      </c>
    </row>
    <row r="82" ht="22.5" customHeight="1">
      <c r="A82" s="42" t="s">
        <v>239</v>
      </c>
      <c r="B82" s="42" t="s">
        <v>1736</v>
      </c>
      <c r="C82" s="42" t="s">
        <v>1737</v>
      </c>
      <c r="D82" s="43">
        <v>37039.0</v>
      </c>
      <c r="E82" s="42" t="str">
        <f t="shared" si="1"/>
        <v>28 Mei 2001</v>
      </c>
      <c r="F82" s="42" t="s">
        <v>1549</v>
      </c>
      <c r="G82" s="42" t="str">
        <f t="shared" si="2"/>
        <v>Medan,28 Mei 2001</v>
      </c>
      <c r="H82" s="42" t="s">
        <v>1324</v>
      </c>
      <c r="I82" s="45" t="s">
        <v>1738</v>
      </c>
      <c r="J82" s="42" t="s">
        <v>1739</v>
      </c>
      <c r="K82" s="42" t="s">
        <v>1740</v>
      </c>
      <c r="L82" s="58">
        <v>1.95167354E9</v>
      </c>
      <c r="M82" s="47"/>
      <c r="N82" s="48" t="s">
        <v>239</v>
      </c>
      <c r="O82" s="48" t="s">
        <v>1343</v>
      </c>
      <c r="P82" s="49">
        <f>vlookup(B82,'RAW DATA'!B:U,14,0)</f>
        <v>46265</v>
      </c>
    </row>
    <row r="83" ht="22.5" customHeight="1">
      <c r="A83" s="60" t="s">
        <v>901</v>
      </c>
      <c r="B83" s="60" t="s">
        <v>1741</v>
      </c>
      <c r="C83" s="60" t="s">
        <v>1742</v>
      </c>
      <c r="D83" s="61">
        <v>37614.0</v>
      </c>
      <c r="E83" s="60" t="str">
        <f t="shared" si="1"/>
        <v>24 Desember 2002</v>
      </c>
      <c r="F83" s="60" t="s">
        <v>1450</v>
      </c>
      <c r="G83" s="60" t="str">
        <f t="shared" si="2"/>
        <v>Surabaya,24 Desember 2002</v>
      </c>
      <c r="H83" s="60" t="s">
        <v>1324</v>
      </c>
      <c r="I83" s="62" t="s">
        <v>1743</v>
      </c>
      <c r="J83" s="60" t="s">
        <v>1322</v>
      </c>
      <c r="K83" s="60" t="s">
        <v>1744</v>
      </c>
      <c r="L83" s="63">
        <v>1.23456789E9</v>
      </c>
      <c r="M83" s="64" t="s">
        <v>1745</v>
      </c>
      <c r="N83" s="64" t="s">
        <v>1746</v>
      </c>
      <c r="O83" s="64" t="s">
        <v>1343</v>
      </c>
      <c r="P83" s="49">
        <f>vlookup(B83,'RAW DATA'!B:U,14,0)</f>
        <v>46265</v>
      </c>
    </row>
    <row r="84" ht="22.5" customHeight="1">
      <c r="A84" s="42" t="s">
        <v>791</v>
      </c>
      <c r="B84" s="59" t="s">
        <v>229</v>
      </c>
      <c r="C84" s="42" t="s">
        <v>1747</v>
      </c>
      <c r="D84" s="43">
        <v>38138.0</v>
      </c>
      <c r="E84" s="42" t="str">
        <f t="shared" si="1"/>
        <v>31 Mei 2004</v>
      </c>
      <c r="F84" s="42" t="s">
        <v>1748</v>
      </c>
      <c r="G84" s="42" t="str">
        <f t="shared" si="2"/>
        <v>jakarta ,31 Mei 2004</v>
      </c>
      <c r="H84" s="42" t="s">
        <v>1324</v>
      </c>
      <c r="I84" s="45" t="s">
        <v>1749</v>
      </c>
      <c r="J84" s="42" t="s">
        <v>1198</v>
      </c>
      <c r="K84" s="42" t="s">
        <v>1750</v>
      </c>
      <c r="L84" s="46" t="s">
        <v>1751</v>
      </c>
      <c r="M84" s="47"/>
      <c r="N84" s="48" t="e">
        <v>#N/A</v>
      </c>
      <c r="O84" s="48" t="s">
        <v>1343</v>
      </c>
      <c r="P84" s="49">
        <f>vlookup(B84,'RAW DATA'!B:U,14,0)</f>
        <v>46265</v>
      </c>
    </row>
    <row r="85" ht="22.5" customHeight="1">
      <c r="A85" s="50" t="s">
        <v>163</v>
      </c>
      <c r="B85" s="51" t="s">
        <v>159</v>
      </c>
      <c r="C85" s="50" t="s">
        <v>1752</v>
      </c>
      <c r="D85" s="52">
        <v>33809.0</v>
      </c>
      <c r="E85" s="50" t="str">
        <f t="shared" si="1"/>
        <v>24 Juli 1992</v>
      </c>
      <c r="F85" s="50" t="s">
        <v>1753</v>
      </c>
      <c r="G85" s="50" t="str">
        <f t="shared" si="2"/>
        <v>Pekanbaru ,24 Juli 1992</v>
      </c>
      <c r="H85" s="50" t="s">
        <v>1324</v>
      </c>
      <c r="I85" s="53" t="s">
        <v>1754</v>
      </c>
      <c r="J85" s="50" t="s">
        <v>1755</v>
      </c>
      <c r="K85" s="50" t="s">
        <v>1756</v>
      </c>
      <c r="L85" s="66" t="s">
        <v>1757</v>
      </c>
      <c r="M85" s="56"/>
      <c r="N85" s="57" t="e">
        <v>#N/A</v>
      </c>
      <c r="O85" s="57" t="s">
        <v>1343</v>
      </c>
      <c r="P85" s="49">
        <f>vlookup(B85,'RAW DATA'!B:U,14,0)</f>
        <v>46265</v>
      </c>
    </row>
    <row r="86" ht="22.5" customHeight="1">
      <c r="A86" s="42" t="s">
        <v>100</v>
      </c>
      <c r="B86" s="42" t="s">
        <v>270</v>
      </c>
      <c r="C86" s="42" t="s">
        <v>1758</v>
      </c>
      <c r="D86" s="43">
        <v>37599.0</v>
      </c>
      <c r="E86" s="42" t="str">
        <f t="shared" si="1"/>
        <v>09 Desember 2002</v>
      </c>
      <c r="F86" s="42" t="s">
        <v>1759</v>
      </c>
      <c r="G86" s="42" t="str">
        <f t="shared" si="2"/>
        <v>Barru,09 Desember 2002</v>
      </c>
      <c r="H86" s="42" t="s">
        <v>1324</v>
      </c>
      <c r="I86" s="45" t="s">
        <v>1760</v>
      </c>
      <c r="J86" s="42" t="s">
        <v>1761</v>
      </c>
      <c r="K86" s="42" t="s">
        <v>1762</v>
      </c>
      <c r="L86" s="58">
        <v>8.26042526E9</v>
      </c>
      <c r="M86" s="47"/>
      <c r="N86" s="48" t="s">
        <v>100</v>
      </c>
      <c r="O86" s="48" t="s">
        <v>1343</v>
      </c>
      <c r="P86" s="49">
        <f>vlookup(B86,'RAW DATA'!B:U,14,0)</f>
        <v>46265</v>
      </c>
    </row>
    <row r="87" ht="22.5" customHeight="1">
      <c r="A87" s="50" t="s">
        <v>214</v>
      </c>
      <c r="B87" s="50" t="s">
        <v>531</v>
      </c>
      <c r="C87" s="50" t="s">
        <v>1763</v>
      </c>
      <c r="D87" s="52">
        <v>36678.0</v>
      </c>
      <c r="E87" s="50" t="str">
        <f t="shared" si="1"/>
        <v>01 Juni 2000</v>
      </c>
      <c r="F87" s="50" t="s">
        <v>1764</v>
      </c>
      <c r="G87" s="50" t="str">
        <f t="shared" si="2"/>
        <v>Cilacap,01 Juni 2000</v>
      </c>
      <c r="H87" s="50" t="s">
        <v>1324</v>
      </c>
      <c r="I87" s="53" t="s">
        <v>1765</v>
      </c>
      <c r="J87" s="50" t="s">
        <v>1766</v>
      </c>
      <c r="K87" s="50" t="s">
        <v>1767</v>
      </c>
      <c r="L87" s="55">
        <v>3.440526046E9</v>
      </c>
      <c r="M87" s="56"/>
      <c r="N87" s="57" t="e">
        <v>#N/A</v>
      </c>
      <c r="O87" s="57" t="s">
        <v>1343</v>
      </c>
      <c r="P87" s="49">
        <f>vlookup(B87,'RAW DATA'!B:U,14,0)</f>
        <v>46265</v>
      </c>
    </row>
    <row r="88" ht="22.5" customHeight="1">
      <c r="A88" s="60" t="s">
        <v>1768</v>
      </c>
      <c r="B88" s="60" t="s">
        <v>476</v>
      </c>
      <c r="C88" s="60" t="s">
        <v>1769</v>
      </c>
      <c r="D88" s="61">
        <v>39075.0</v>
      </c>
      <c r="E88" s="60" t="str">
        <f t="shared" si="1"/>
        <v>24 Desember 2006</v>
      </c>
      <c r="F88" s="60" t="s">
        <v>1770</v>
      </c>
      <c r="G88" s="60" t="str">
        <f t="shared" si="2"/>
        <v>Berau,24 Desember 2006</v>
      </c>
      <c r="H88" s="60" t="s">
        <v>1324</v>
      </c>
      <c r="I88" s="62" t="s">
        <v>1771</v>
      </c>
      <c r="J88" s="60" t="s">
        <v>1772</v>
      </c>
      <c r="K88" s="60" t="s">
        <v>994</v>
      </c>
      <c r="L88" s="63">
        <v>8.605464803E9</v>
      </c>
      <c r="M88" s="64" t="s">
        <v>1400</v>
      </c>
      <c r="N88" s="64" t="s">
        <v>115</v>
      </c>
      <c r="O88" s="64" t="s">
        <v>1343</v>
      </c>
      <c r="P88" s="49">
        <f>vlookup(B88,'RAW DATA'!B:U,14,0)</f>
        <v>46265</v>
      </c>
    </row>
    <row r="89" ht="22.5" customHeight="1">
      <c r="A89" s="50" t="s">
        <v>108</v>
      </c>
      <c r="B89" s="51" t="s">
        <v>1367</v>
      </c>
      <c r="C89" s="50" t="s">
        <v>1773</v>
      </c>
      <c r="D89" s="52">
        <v>39415.0</v>
      </c>
      <c r="E89" s="50" t="str">
        <f t="shared" si="1"/>
        <v>29 November 2007</v>
      </c>
      <c r="F89" s="50" t="s">
        <v>1774</v>
      </c>
      <c r="G89" s="50" t="str">
        <f t="shared" si="2"/>
        <v>Palembang,29 November 2007</v>
      </c>
      <c r="H89" s="50" t="s">
        <v>1324</v>
      </c>
      <c r="I89" s="53" t="s">
        <v>1775</v>
      </c>
      <c r="J89" s="50" t="s">
        <v>1364</v>
      </c>
      <c r="K89" s="50" t="s">
        <v>1777</v>
      </c>
      <c r="L89" s="55">
        <v>1.160615202E9</v>
      </c>
      <c r="M89" s="56"/>
      <c r="N89" s="57" t="e">
        <v>#N/A</v>
      </c>
      <c r="O89" s="57" t="s">
        <v>1778</v>
      </c>
      <c r="P89" s="49">
        <f>vlookup(B89,'RAW DATA'!B:U,14,0)</f>
        <v>46265</v>
      </c>
    </row>
    <row r="90" ht="22.5" customHeight="1">
      <c r="A90" s="42" t="s">
        <v>980</v>
      </c>
      <c r="B90" s="59" t="s">
        <v>202</v>
      </c>
      <c r="C90" s="42" t="s">
        <v>1779</v>
      </c>
      <c r="D90" s="43">
        <v>38240.0</v>
      </c>
      <c r="E90" s="42" t="str">
        <f t="shared" si="1"/>
        <v>10 September 2004</v>
      </c>
      <c r="F90" s="42" t="s">
        <v>1780</v>
      </c>
      <c r="G90" s="42" t="str">
        <f t="shared" si="2"/>
        <v>Sidoarjo,10 September 2004</v>
      </c>
      <c r="H90" s="42" t="s">
        <v>1324</v>
      </c>
      <c r="I90" s="45" t="s">
        <v>1781</v>
      </c>
      <c r="J90" s="42" t="s">
        <v>1067</v>
      </c>
      <c r="K90" s="42" t="s">
        <v>1782</v>
      </c>
      <c r="L90" s="46" t="s">
        <v>1783</v>
      </c>
      <c r="M90" s="47"/>
      <c r="N90" s="48" t="e">
        <v>#N/A</v>
      </c>
      <c r="O90" s="48" t="s">
        <v>1343</v>
      </c>
      <c r="P90" s="49">
        <f>vlookup(B90,'RAW DATA'!B:U,14,0)</f>
        <v>46265</v>
      </c>
    </row>
    <row r="91" ht="22.5" customHeight="1">
      <c r="A91" s="60" t="s">
        <v>729</v>
      </c>
      <c r="B91" s="60" t="s">
        <v>415</v>
      </c>
      <c r="C91" s="60" t="s">
        <v>1784</v>
      </c>
      <c r="D91" s="61">
        <v>29457.0</v>
      </c>
      <c r="E91" s="60" t="str">
        <f t="shared" si="1"/>
        <v>24 Agustus 1980</v>
      </c>
      <c r="F91" s="60" t="s">
        <v>1602</v>
      </c>
      <c r="G91" s="60" t="str">
        <f t="shared" si="2"/>
        <v>Klaten,24 Agustus 1980</v>
      </c>
      <c r="H91" s="60" t="s">
        <v>1324</v>
      </c>
      <c r="I91" s="62" t="s">
        <v>1785</v>
      </c>
      <c r="J91" s="60" t="s">
        <v>1786</v>
      </c>
      <c r="K91" s="60" t="s">
        <v>1787</v>
      </c>
      <c r="L91" s="55">
        <v>4.451275768E9</v>
      </c>
      <c r="M91" s="57" t="s">
        <v>1400</v>
      </c>
      <c r="N91" s="57" t="s">
        <v>729</v>
      </c>
      <c r="O91" s="57" t="s">
        <v>1343</v>
      </c>
      <c r="P91" s="49">
        <f>vlookup(B91,'RAW DATA'!B:U,14,0)</f>
        <v>46265</v>
      </c>
    </row>
    <row r="92" ht="22.5" customHeight="1">
      <c r="A92" s="42" t="s">
        <v>205</v>
      </c>
      <c r="B92" s="42" t="s">
        <v>215</v>
      </c>
      <c r="C92" s="42" t="s">
        <v>1788</v>
      </c>
      <c r="D92" s="43">
        <v>34155.0</v>
      </c>
      <c r="E92" s="42" t="str">
        <f t="shared" si="1"/>
        <v>05 Juli 1993</v>
      </c>
      <c r="F92" s="42" t="s">
        <v>1564</v>
      </c>
      <c r="G92" s="42" t="str">
        <f t="shared" si="2"/>
        <v>Bandung,05 Juli 1993</v>
      </c>
      <c r="H92" s="42" t="s">
        <v>1324</v>
      </c>
      <c r="I92" s="45" t="s">
        <v>1789</v>
      </c>
      <c r="J92" s="42" t="s">
        <v>1146</v>
      </c>
      <c r="K92" s="42" t="s">
        <v>1790</v>
      </c>
      <c r="L92" s="58">
        <v>7.94030102E9</v>
      </c>
      <c r="M92" s="47"/>
      <c r="N92" s="48" t="s">
        <v>205</v>
      </c>
      <c r="O92" s="48" t="s">
        <v>1343</v>
      </c>
      <c r="P92" s="49">
        <f>vlookup(B92,'RAW DATA'!B:U,14,0)</f>
        <v>46265</v>
      </c>
    </row>
    <row r="93" ht="22.5" customHeight="1">
      <c r="A93" s="50" t="s">
        <v>1132</v>
      </c>
      <c r="B93" s="51" t="s">
        <v>904</v>
      </c>
      <c r="C93" s="50" t="s">
        <v>1791</v>
      </c>
      <c r="D93" s="52">
        <v>38996.0</v>
      </c>
      <c r="E93" s="50" t="str">
        <f t="shared" si="1"/>
        <v>06 Oktober 2006</v>
      </c>
      <c r="F93" s="50" t="s">
        <v>1373</v>
      </c>
      <c r="G93" s="50" t="str">
        <f t="shared" si="2"/>
        <v>Banyuwangi,06 Oktober 2006</v>
      </c>
      <c r="H93" s="50" t="s">
        <v>1324</v>
      </c>
      <c r="I93" s="53" t="s">
        <v>1792</v>
      </c>
      <c r="J93" s="50" t="s">
        <v>890</v>
      </c>
      <c r="K93" s="50" t="s">
        <v>1793</v>
      </c>
      <c r="L93" s="55">
        <v>2.631238621E9</v>
      </c>
      <c r="M93" s="56"/>
      <c r="N93" s="57" t="e">
        <v>#N/A</v>
      </c>
      <c r="O93" s="57" t="s">
        <v>1343</v>
      </c>
      <c r="P93" s="49">
        <f>vlookup(B93,'RAW DATA'!B:U,14,0)</f>
        <v>46265</v>
      </c>
    </row>
    <row r="94" ht="22.5" customHeight="1">
      <c r="A94" s="42" t="s">
        <v>214</v>
      </c>
      <c r="B94" s="42" t="s">
        <v>245</v>
      </c>
      <c r="C94" s="42" t="s">
        <v>1794</v>
      </c>
      <c r="D94" s="43">
        <v>34851.0</v>
      </c>
      <c r="E94" s="42" t="str">
        <f t="shared" si="1"/>
        <v>01 Juni 1995</v>
      </c>
      <c r="F94" s="42" t="s">
        <v>1795</v>
      </c>
      <c r="G94" s="42" t="str">
        <f t="shared" si="2"/>
        <v>Temanggung,01 Juni 1995</v>
      </c>
      <c r="H94" s="42" t="s">
        <v>1324</v>
      </c>
      <c r="I94" s="45" t="s">
        <v>1796</v>
      </c>
      <c r="J94" s="42" t="s">
        <v>1233</v>
      </c>
      <c r="K94" s="42" t="s">
        <v>1797</v>
      </c>
      <c r="L94" s="58">
        <v>1.23456789E9</v>
      </c>
      <c r="M94" s="47"/>
      <c r="N94" s="48" t="s">
        <v>214</v>
      </c>
      <c r="O94" s="48" t="s">
        <v>1343</v>
      </c>
      <c r="P94" s="49">
        <f>vlookup(B94,'RAW DATA'!B:U,14,0)</f>
        <v>46265</v>
      </c>
    </row>
    <row r="95" ht="22.5" customHeight="1">
      <c r="A95" s="50" t="s">
        <v>108</v>
      </c>
      <c r="B95" s="50" t="s">
        <v>1798</v>
      </c>
      <c r="C95" s="50" t="s">
        <v>1799</v>
      </c>
      <c r="D95" s="52">
        <v>39056.0</v>
      </c>
      <c r="E95" s="50" t="str">
        <f t="shared" si="1"/>
        <v>05 Desember 2006</v>
      </c>
      <c r="F95" s="50" t="s">
        <v>1800</v>
      </c>
      <c r="G95" s="50" t="str">
        <f t="shared" si="2"/>
        <v>banyuasin,05 Desember 2006</v>
      </c>
      <c r="H95" s="50" t="s">
        <v>1324</v>
      </c>
      <c r="I95" s="53" t="s">
        <v>1801</v>
      </c>
      <c r="J95" s="50" t="s">
        <v>429</v>
      </c>
      <c r="K95" s="50" t="s">
        <v>1802</v>
      </c>
      <c r="L95" s="55">
        <v>8.435689139E9</v>
      </c>
      <c r="M95" s="56"/>
      <c r="N95" s="57" t="s">
        <v>108</v>
      </c>
      <c r="O95" s="57" t="s">
        <v>1778</v>
      </c>
      <c r="P95" s="49">
        <f>vlookup(B95,'RAW DATA'!B:U,14,0)</f>
        <v>46265</v>
      </c>
    </row>
    <row r="96" ht="22.5" customHeight="1">
      <c r="A96" s="42" t="s">
        <v>1174</v>
      </c>
      <c r="B96" s="59" t="s">
        <v>250</v>
      </c>
      <c r="C96" s="42" t="s">
        <v>1803</v>
      </c>
      <c r="D96" s="43">
        <v>39236.0</v>
      </c>
      <c r="E96" s="42" t="str">
        <f t="shared" si="1"/>
        <v>03 Juni 2007</v>
      </c>
      <c r="F96" s="42" t="s">
        <v>1804</v>
      </c>
      <c r="G96" s="42" t="str">
        <f t="shared" si="2"/>
        <v>Pekalongan ,03 Juni 2007</v>
      </c>
      <c r="H96" s="42" t="s">
        <v>1324</v>
      </c>
      <c r="I96" s="45" t="s">
        <v>1805</v>
      </c>
      <c r="J96" s="42" t="s">
        <v>1244</v>
      </c>
      <c r="K96" s="42" t="s">
        <v>1806</v>
      </c>
      <c r="L96" s="58">
        <v>3.820378155E9</v>
      </c>
      <c r="M96" s="47"/>
      <c r="N96" s="48" t="e">
        <v>#N/A</v>
      </c>
      <c r="O96" s="48" t="s">
        <v>1807</v>
      </c>
      <c r="P96" s="49">
        <f>vlookup(B96,'RAW DATA'!B:U,14,0)</f>
        <v>46265</v>
      </c>
    </row>
    <row r="97" ht="22.5" customHeight="1">
      <c r="A97" s="50" t="s">
        <v>939</v>
      </c>
      <c r="B97" s="50" t="s">
        <v>581</v>
      </c>
      <c r="C97" s="50" t="s">
        <v>1808</v>
      </c>
      <c r="D97" s="52">
        <v>37751.0</v>
      </c>
      <c r="E97" s="50" t="str">
        <f t="shared" si="1"/>
        <v>10 Mei 2003</v>
      </c>
      <c r="F97" s="50" t="s">
        <v>1809</v>
      </c>
      <c r="G97" s="50" t="str">
        <f t="shared" si="2"/>
        <v>Ds.TANJUNG RAYA Kab.MUSI BANYUASIN,10 Mei 2003</v>
      </c>
      <c r="H97" s="50" t="s">
        <v>1324</v>
      </c>
      <c r="I97" s="53" t="s">
        <v>1810</v>
      </c>
      <c r="J97" s="50" t="s">
        <v>573</v>
      </c>
      <c r="K97" s="50" t="s">
        <v>1811</v>
      </c>
      <c r="L97" s="55">
        <v>8.120433165E9</v>
      </c>
      <c r="M97" s="56"/>
      <c r="N97" s="57" t="s">
        <v>939</v>
      </c>
      <c r="O97" s="57" t="s">
        <v>1343</v>
      </c>
      <c r="P97" s="49">
        <f>vlookup(B97,'RAW DATA'!B:U,14,0)</f>
        <v>46265</v>
      </c>
    </row>
    <row r="98" ht="22.5" customHeight="1">
      <c r="A98" s="42" t="s">
        <v>793</v>
      </c>
      <c r="B98" s="59" t="s">
        <v>657</v>
      </c>
      <c r="C98" s="42" t="s">
        <v>1812</v>
      </c>
      <c r="D98" s="43">
        <v>36395.0</v>
      </c>
      <c r="E98" s="42" t="str">
        <f t="shared" si="1"/>
        <v>23 Agustus 1999</v>
      </c>
      <c r="F98" s="42" t="s">
        <v>1813</v>
      </c>
      <c r="G98" s="42" t="str">
        <f t="shared" si="2"/>
        <v>JEPARA,23 Agustus 1999</v>
      </c>
      <c r="H98" s="42" t="s">
        <v>1324</v>
      </c>
      <c r="I98" s="45" t="s">
        <v>1814</v>
      </c>
      <c r="J98" s="42" t="s">
        <v>404</v>
      </c>
      <c r="K98" s="42" t="s">
        <v>1815</v>
      </c>
      <c r="L98" s="58">
        <v>8.585226544E9</v>
      </c>
      <c r="M98" s="47"/>
      <c r="N98" s="48" t="s">
        <v>793</v>
      </c>
      <c r="O98" s="48" t="s">
        <v>1343</v>
      </c>
      <c r="P98" s="49">
        <f>vlookup(B98,'RAW DATA'!B:U,14,0)</f>
        <v>46265</v>
      </c>
    </row>
    <row r="99" ht="22.5" customHeight="1">
      <c r="A99" s="50" t="s">
        <v>214</v>
      </c>
      <c r="B99" s="51" t="s">
        <v>879</v>
      </c>
      <c r="C99" s="50" t="s">
        <v>1816</v>
      </c>
      <c r="D99" s="52">
        <v>36788.0</v>
      </c>
      <c r="E99" s="50" t="str">
        <f t="shared" si="1"/>
        <v>19 September 2000</v>
      </c>
      <c r="F99" s="50" t="s">
        <v>1817</v>
      </c>
      <c r="G99" s="50" t="str">
        <f t="shared" si="2"/>
        <v>Surakarta ,19 September 2000</v>
      </c>
      <c r="H99" s="50" t="s">
        <v>1324</v>
      </c>
      <c r="I99" s="53" t="s">
        <v>1818</v>
      </c>
      <c r="J99" s="50" t="s">
        <v>490</v>
      </c>
      <c r="K99" s="50" t="s">
        <v>1819</v>
      </c>
      <c r="L99" s="55">
        <v>1.530616408E9</v>
      </c>
      <c r="M99" s="56"/>
      <c r="N99" s="57" t="e">
        <v>#N/A</v>
      </c>
      <c r="O99" s="57" t="s">
        <v>1343</v>
      </c>
      <c r="P99" s="49" t="str">
        <f>vlookup(B99,'RAW DATA'!B:U,14,0)</f>
        <v/>
      </c>
    </row>
    <row r="100" ht="22.5" customHeight="1">
      <c r="A100" s="42" t="s">
        <v>214</v>
      </c>
      <c r="B100" s="42" t="s">
        <v>1820</v>
      </c>
      <c r="C100" s="42" t="s">
        <v>1821</v>
      </c>
      <c r="D100" s="43">
        <v>34432.0</v>
      </c>
      <c r="E100" s="42" t="str">
        <f t="shared" si="1"/>
        <v>08 April 1994</v>
      </c>
      <c r="F100" s="42" t="s">
        <v>1822</v>
      </c>
      <c r="G100" s="42" t="str">
        <f t="shared" si="2"/>
        <v>Banyumas,08 April 1994</v>
      </c>
      <c r="H100" s="42" t="s">
        <v>1324</v>
      </c>
      <c r="I100" s="45" t="s">
        <v>1823</v>
      </c>
      <c r="J100" s="42" t="s">
        <v>1824</v>
      </c>
      <c r="K100" s="42" t="s">
        <v>1825</v>
      </c>
      <c r="L100" s="58">
        <v>3.58111879E9</v>
      </c>
      <c r="M100" s="47"/>
      <c r="N100" s="48" t="s">
        <v>852</v>
      </c>
      <c r="O100" s="48" t="s">
        <v>1807</v>
      </c>
      <c r="P100" s="49">
        <f>vlookup(B100,'RAW DATA'!B:U,14,0)</f>
        <v>46265</v>
      </c>
    </row>
    <row r="101" ht="22.5" customHeight="1">
      <c r="A101" s="50" t="s">
        <v>205</v>
      </c>
      <c r="B101" s="50" t="s">
        <v>1257</v>
      </c>
      <c r="C101" s="50" t="s">
        <v>1826</v>
      </c>
      <c r="D101" s="52">
        <v>36747.0</v>
      </c>
      <c r="E101" s="50" t="str">
        <f t="shared" si="1"/>
        <v>09 Agustus 2000</v>
      </c>
      <c r="F101" s="50" t="s">
        <v>205</v>
      </c>
      <c r="G101" s="50" t="str">
        <f t="shared" si="2"/>
        <v>BANDUNG,09 Agustus 2000</v>
      </c>
      <c r="H101" s="50" t="s">
        <v>1324</v>
      </c>
      <c r="I101" s="53" t="s">
        <v>1827</v>
      </c>
      <c r="J101" s="50" t="s">
        <v>1255</v>
      </c>
      <c r="K101" s="50" t="s">
        <v>1828</v>
      </c>
      <c r="L101" s="55">
        <v>2.831985111E9</v>
      </c>
      <c r="M101" s="56"/>
      <c r="N101" s="57" t="s">
        <v>205</v>
      </c>
      <c r="O101" s="57" t="s">
        <v>1343</v>
      </c>
      <c r="P101" s="49">
        <f>vlookup(B101,'RAW DATA'!B:U,14,0)</f>
        <v>46265</v>
      </c>
    </row>
    <row r="102" ht="22.5" customHeight="1">
      <c r="A102" s="42" t="s">
        <v>901</v>
      </c>
      <c r="B102" s="42" t="s">
        <v>1192</v>
      </c>
      <c r="C102" s="42" t="s">
        <v>1829</v>
      </c>
      <c r="D102" s="43">
        <v>36017.0</v>
      </c>
      <c r="E102" s="42" t="str">
        <f t="shared" si="1"/>
        <v>10 Agustus 1998</v>
      </c>
      <c r="F102" s="42" t="s">
        <v>1830</v>
      </c>
      <c r="G102" s="42" t="str">
        <f t="shared" si="2"/>
        <v>Malamg,10 Agustus 1998</v>
      </c>
      <c r="H102" s="42" t="s">
        <v>1324</v>
      </c>
      <c r="I102" s="45" t="s">
        <v>1831</v>
      </c>
      <c r="J102" s="42" t="s">
        <v>1189</v>
      </c>
      <c r="K102" s="42" t="s">
        <v>1832</v>
      </c>
      <c r="L102" s="58">
        <v>3.310069298E9</v>
      </c>
      <c r="M102" s="47"/>
      <c r="N102" s="48" t="s">
        <v>901</v>
      </c>
      <c r="O102" s="48" t="s">
        <v>1807</v>
      </c>
      <c r="P102" s="49">
        <f>vlookup(B102,'RAW DATA'!B:U,14,0)</f>
        <v>46265</v>
      </c>
    </row>
    <row r="103" ht="22.5" customHeight="1">
      <c r="A103" s="50" t="s">
        <v>458</v>
      </c>
      <c r="B103" s="50" t="s">
        <v>132</v>
      </c>
      <c r="C103" s="50" t="s">
        <v>1833</v>
      </c>
      <c r="D103" s="52">
        <v>37277.0</v>
      </c>
      <c r="E103" s="50" t="str">
        <f t="shared" si="1"/>
        <v>21 Januari 2002</v>
      </c>
      <c r="F103" s="50" t="s">
        <v>1834</v>
      </c>
      <c r="G103" s="50" t="str">
        <f t="shared" si="2"/>
        <v>Bandar Lampung ,21 Januari 2002</v>
      </c>
      <c r="H103" s="50" t="s">
        <v>1324</v>
      </c>
      <c r="I103" s="53" t="s">
        <v>1835</v>
      </c>
      <c r="J103" s="50" t="s">
        <v>583</v>
      </c>
      <c r="K103" s="50" t="s">
        <v>1836</v>
      </c>
      <c r="L103" s="55">
        <v>4.300673746E9</v>
      </c>
      <c r="M103" s="56"/>
      <c r="N103" s="57" t="s">
        <v>458</v>
      </c>
      <c r="O103" s="57" t="s">
        <v>1343</v>
      </c>
      <c r="P103" s="49">
        <f>vlookup(B103,'RAW DATA'!B:U,14,0)</f>
        <v>46265</v>
      </c>
    </row>
    <row r="104" ht="22.5" customHeight="1">
      <c r="A104" s="60" t="s">
        <v>100</v>
      </c>
      <c r="B104" s="60" t="s">
        <v>1837</v>
      </c>
      <c r="C104" s="60" t="s">
        <v>1838</v>
      </c>
      <c r="D104" s="61">
        <v>35084.0</v>
      </c>
      <c r="E104" s="60" t="str">
        <f t="shared" si="1"/>
        <v>20 Januari 1996</v>
      </c>
      <c r="F104" s="60" t="s">
        <v>1839</v>
      </c>
      <c r="G104" s="60" t="str">
        <f t="shared" si="2"/>
        <v>Donggala,20 Januari 1996</v>
      </c>
      <c r="H104" s="60" t="s">
        <v>1324</v>
      </c>
      <c r="I104" s="62" t="s">
        <v>1840</v>
      </c>
      <c r="J104" s="60" t="s">
        <v>1841</v>
      </c>
      <c r="K104" s="60" t="s">
        <v>1842</v>
      </c>
      <c r="L104" s="63">
        <v>7.920956461E9</v>
      </c>
      <c r="M104" s="64" t="s">
        <v>1493</v>
      </c>
      <c r="N104" s="64" t="s">
        <v>827</v>
      </c>
      <c r="O104" s="64" t="s">
        <v>1343</v>
      </c>
      <c r="P104" s="49">
        <f>vlookup(B104,'RAW DATA'!B:U,14,0)</f>
        <v>46265</v>
      </c>
    </row>
    <row r="105" ht="22.5" customHeight="1">
      <c r="A105" s="50" t="s">
        <v>458</v>
      </c>
      <c r="B105" s="50" t="s">
        <v>781</v>
      </c>
      <c r="C105" s="50" t="s">
        <v>1843</v>
      </c>
      <c r="D105" s="52">
        <v>37671.0</v>
      </c>
      <c r="E105" s="50" t="str">
        <f t="shared" si="1"/>
        <v>19 Februari 2003</v>
      </c>
      <c r="F105" s="50" t="s">
        <v>1722</v>
      </c>
      <c r="G105" s="50" t="str">
        <f t="shared" si="2"/>
        <v>Jember,19 Februari 2003</v>
      </c>
      <c r="H105" s="50" t="s">
        <v>1324</v>
      </c>
      <c r="I105" s="53" t="s">
        <v>1844</v>
      </c>
      <c r="J105" s="50" t="s">
        <v>760</v>
      </c>
      <c r="K105" s="50" t="s">
        <v>1845</v>
      </c>
      <c r="L105" s="66" t="s">
        <v>1846</v>
      </c>
      <c r="M105" s="56"/>
      <c r="N105" s="57" t="s">
        <v>1046</v>
      </c>
      <c r="O105" s="57" t="s">
        <v>1343</v>
      </c>
      <c r="P105" s="49">
        <f>vlookup(B105,'RAW DATA'!B:U,14,0)</f>
        <v>46265</v>
      </c>
    </row>
    <row r="106" ht="22.5" customHeight="1">
      <c r="A106" s="42" t="s">
        <v>126</v>
      </c>
      <c r="B106" s="42" t="s">
        <v>1847</v>
      </c>
      <c r="C106" s="42" t="s">
        <v>1848</v>
      </c>
      <c r="D106" s="43">
        <v>37101.0</v>
      </c>
      <c r="E106" s="42" t="str">
        <f t="shared" si="1"/>
        <v>29 Juli 2001</v>
      </c>
      <c r="F106" s="42" t="s">
        <v>126</v>
      </c>
      <c r="G106" s="42" t="str">
        <f t="shared" si="2"/>
        <v>SURABAYA,29 Juli 2001</v>
      </c>
      <c r="H106" s="42" t="s">
        <v>1324</v>
      </c>
      <c r="I106" s="45" t="s">
        <v>1849</v>
      </c>
      <c r="J106" s="42" t="s">
        <v>1850</v>
      </c>
      <c r="K106" s="42" t="s">
        <v>1851</v>
      </c>
      <c r="L106" s="58">
        <v>5.085075826E9</v>
      </c>
      <c r="M106" s="47"/>
      <c r="N106" s="48" t="s">
        <v>126</v>
      </c>
      <c r="O106" s="48" t="s">
        <v>1343</v>
      </c>
      <c r="P106" s="49">
        <f>vlookup(B106,'RAW DATA'!B:U,14,0)</f>
        <v>46265</v>
      </c>
    </row>
    <row r="107" ht="22.5" customHeight="1">
      <c r="A107" s="50" t="s">
        <v>126</v>
      </c>
      <c r="B107" s="50" t="s">
        <v>374</v>
      </c>
      <c r="C107" s="50" t="s">
        <v>1852</v>
      </c>
      <c r="D107" s="52">
        <v>34597.0</v>
      </c>
      <c r="E107" s="50" t="str">
        <f t="shared" si="1"/>
        <v>20 September 1994</v>
      </c>
      <c r="F107" s="50" t="s">
        <v>951</v>
      </c>
      <c r="G107" s="50" t="str">
        <f t="shared" si="2"/>
        <v>KEDIRI,20 September 1994</v>
      </c>
      <c r="H107" s="50" t="s">
        <v>1324</v>
      </c>
      <c r="I107" s="53" t="s">
        <v>1853</v>
      </c>
      <c r="J107" s="50" t="s">
        <v>1854</v>
      </c>
      <c r="K107" s="50" t="s">
        <v>1855</v>
      </c>
      <c r="L107" s="55">
        <v>8.220741924E9</v>
      </c>
      <c r="M107" s="56"/>
      <c r="N107" s="57" t="s">
        <v>126</v>
      </c>
      <c r="O107" s="57" t="s">
        <v>1343</v>
      </c>
      <c r="P107" s="49">
        <f>vlookup(B107,'RAW DATA'!B:U,14,0)</f>
        <v>46265</v>
      </c>
    </row>
    <row r="108" ht="22.5" customHeight="1">
      <c r="A108" s="42" t="s">
        <v>126</v>
      </c>
      <c r="B108" s="42" t="s">
        <v>1856</v>
      </c>
      <c r="C108" s="42" t="s">
        <v>1857</v>
      </c>
      <c r="D108" s="43">
        <v>35920.0</v>
      </c>
      <c r="E108" s="42" t="str">
        <f t="shared" si="1"/>
        <v>05 Mei 1998</v>
      </c>
      <c r="F108" s="42" t="s">
        <v>126</v>
      </c>
      <c r="G108" s="42" t="str">
        <f t="shared" si="2"/>
        <v>SURABAYA,05 Mei 1998</v>
      </c>
      <c r="H108" s="42" t="s">
        <v>1324</v>
      </c>
      <c r="I108" s="45" t="s">
        <v>1858</v>
      </c>
      <c r="J108" s="42" t="s">
        <v>1859</v>
      </c>
      <c r="K108" s="42" t="s">
        <v>1860</v>
      </c>
      <c r="L108" s="58">
        <v>6.170469508E9</v>
      </c>
      <c r="M108" s="47"/>
      <c r="N108" s="48" t="s">
        <v>126</v>
      </c>
      <c r="O108" s="48" t="s">
        <v>1343</v>
      </c>
      <c r="P108" s="49">
        <f>vlookup(B108,'RAW DATA'!B:U,14,0)</f>
        <v>46265</v>
      </c>
    </row>
    <row r="109" ht="22.5" customHeight="1">
      <c r="A109" s="50" t="s">
        <v>791</v>
      </c>
      <c r="B109" s="51" t="s">
        <v>45</v>
      </c>
      <c r="C109" s="50" t="s">
        <v>1861</v>
      </c>
      <c r="D109" s="52">
        <v>32778.0</v>
      </c>
      <c r="E109" s="50" t="str">
        <f t="shared" si="1"/>
        <v>27 September 1989</v>
      </c>
      <c r="F109" s="50" t="s">
        <v>1391</v>
      </c>
      <c r="G109" s="50" t="str">
        <f t="shared" si="2"/>
        <v>Jakarta ,27 September 1989</v>
      </c>
      <c r="H109" s="50" t="s">
        <v>1324</v>
      </c>
      <c r="I109" s="53" t="s">
        <v>1862</v>
      </c>
      <c r="J109" s="50" t="s">
        <v>310</v>
      </c>
      <c r="K109" s="50" t="s">
        <v>1863</v>
      </c>
      <c r="L109" s="55">
        <v>6.840428964E9</v>
      </c>
      <c r="M109" s="56"/>
      <c r="N109" s="57" t="e">
        <v>#N/A</v>
      </c>
      <c r="O109" s="57" t="s">
        <v>1343</v>
      </c>
      <c r="P109" s="49">
        <f>vlookup(B109,'RAW DATA'!B:U,14,0)</f>
        <v>46265</v>
      </c>
    </row>
    <row r="110" ht="22.5" customHeight="1">
      <c r="A110" s="42" t="s">
        <v>791</v>
      </c>
      <c r="B110" s="42" t="s">
        <v>40</v>
      </c>
      <c r="C110" s="42" t="s">
        <v>1864</v>
      </c>
      <c r="D110" s="43">
        <v>33737.0</v>
      </c>
      <c r="E110" s="42" t="str">
        <f t="shared" si="1"/>
        <v>13 Mei 1992</v>
      </c>
      <c r="F110" s="42" t="s">
        <v>1865</v>
      </c>
      <c r="G110" s="42" t="str">
        <f t="shared" si="2"/>
        <v>CIAMIS,13 Mei 1992</v>
      </c>
      <c r="H110" s="42" t="s">
        <v>1324</v>
      </c>
      <c r="I110" s="45" t="s">
        <v>1866</v>
      </c>
      <c r="J110" s="42" t="s">
        <v>1867</v>
      </c>
      <c r="K110" s="42" t="s">
        <v>1868</v>
      </c>
      <c r="L110" s="58">
        <v>5.910185235E9</v>
      </c>
      <c r="M110" s="47"/>
      <c r="N110" s="48" t="s">
        <v>791</v>
      </c>
      <c r="O110" s="48" t="s">
        <v>1343</v>
      </c>
      <c r="P110" s="49">
        <f>vlookup(B110,'RAW DATA'!B:U,14,0)</f>
        <v>46265</v>
      </c>
    </row>
    <row r="111" ht="22.5" customHeight="1">
      <c r="A111" s="50" t="s">
        <v>791</v>
      </c>
      <c r="B111" s="50" t="s">
        <v>1869</v>
      </c>
      <c r="C111" s="50" t="s">
        <v>1870</v>
      </c>
      <c r="D111" s="52">
        <v>33370.0</v>
      </c>
      <c r="E111" s="50" t="str">
        <f t="shared" si="1"/>
        <v>12 Mei 1991</v>
      </c>
      <c r="F111" s="50" t="s">
        <v>1871</v>
      </c>
      <c r="G111" s="50" t="str">
        <f t="shared" si="2"/>
        <v>Lebak Banten,12 Mei 1991</v>
      </c>
      <c r="H111" s="50" t="s">
        <v>1324</v>
      </c>
      <c r="I111" s="53" t="s">
        <v>1872</v>
      </c>
      <c r="J111" s="50" t="s">
        <v>1873</v>
      </c>
      <c r="K111" s="50" t="s">
        <v>1874</v>
      </c>
      <c r="L111" s="55">
        <v>6.872083061E9</v>
      </c>
      <c r="M111" s="56"/>
      <c r="N111" s="57" t="s">
        <v>791</v>
      </c>
      <c r="O111" s="57" t="s">
        <v>1343</v>
      </c>
      <c r="P111" s="49">
        <f>vlookup(B111,'RAW DATA'!B:U,14,0)</f>
        <v>46265</v>
      </c>
    </row>
    <row r="112" ht="22.5" customHeight="1">
      <c r="A112" s="60" t="s">
        <v>126</v>
      </c>
      <c r="B112" s="60" t="s">
        <v>1875</v>
      </c>
      <c r="C112" s="60" t="s">
        <v>1876</v>
      </c>
      <c r="D112" s="61">
        <v>34538.0</v>
      </c>
      <c r="E112" s="60" t="str">
        <f t="shared" si="1"/>
        <v>23 Juli 1994</v>
      </c>
      <c r="F112" s="60" t="s">
        <v>1450</v>
      </c>
      <c r="G112" s="60" t="str">
        <f t="shared" si="2"/>
        <v>Surabaya,23 Juli 1994</v>
      </c>
      <c r="H112" s="60" t="s">
        <v>1324</v>
      </c>
      <c r="I112" s="62" t="s">
        <v>1877</v>
      </c>
      <c r="J112" s="60" t="s">
        <v>1219</v>
      </c>
      <c r="K112" s="60" t="s">
        <v>1878</v>
      </c>
      <c r="L112" s="63">
        <v>1.070674668E9</v>
      </c>
      <c r="M112" s="75"/>
      <c r="N112" s="64" t="s">
        <v>1879</v>
      </c>
      <c r="O112" s="73" t="s">
        <v>1880</v>
      </c>
      <c r="P112" s="74" t="str">
        <f>vlookup(B112,'RAW DATA'!B:U,14,0)</f>
        <v>#N/A</v>
      </c>
    </row>
    <row r="113" ht="22.5" customHeight="1">
      <c r="A113" s="50" t="s">
        <v>205</v>
      </c>
      <c r="B113" s="50" t="s">
        <v>1881</v>
      </c>
      <c r="C113" s="50" t="s">
        <v>1882</v>
      </c>
      <c r="D113" s="52">
        <v>34161.0</v>
      </c>
      <c r="E113" s="50" t="str">
        <f t="shared" si="1"/>
        <v>11 Juli 1993</v>
      </c>
      <c r="F113" s="50" t="s">
        <v>205</v>
      </c>
      <c r="G113" s="50" t="str">
        <f t="shared" si="2"/>
        <v>BANDUNG,11 Juli 1993</v>
      </c>
      <c r="H113" s="50" t="s">
        <v>1324</v>
      </c>
      <c r="I113" s="53" t="s">
        <v>1883</v>
      </c>
      <c r="J113" s="50" t="s">
        <v>1183</v>
      </c>
      <c r="K113" s="50" t="s">
        <v>1884</v>
      </c>
      <c r="L113" s="55">
        <v>7.751764611E9</v>
      </c>
      <c r="M113" s="56"/>
      <c r="N113" s="57" t="s">
        <v>205</v>
      </c>
      <c r="O113" s="57" t="s">
        <v>1343</v>
      </c>
      <c r="P113" s="49">
        <f>vlookup(B113,'RAW DATA'!B:U,14,0)</f>
        <v>46265</v>
      </c>
    </row>
    <row r="114" ht="22.5" customHeight="1">
      <c r="A114" s="42" t="s">
        <v>1007</v>
      </c>
      <c r="B114" s="59" t="s">
        <v>204</v>
      </c>
      <c r="C114" s="42" t="s">
        <v>1885</v>
      </c>
      <c r="D114" s="43">
        <v>35307.0</v>
      </c>
      <c r="E114" s="42" t="str">
        <f t="shared" si="1"/>
        <v>30 Agustus 1996</v>
      </c>
      <c r="F114" s="42" t="s">
        <v>1886</v>
      </c>
      <c r="G114" s="42" t="str">
        <f t="shared" si="2"/>
        <v>Kudus,30 Agustus 1996</v>
      </c>
      <c r="H114" s="42" t="s">
        <v>1324</v>
      </c>
      <c r="I114" s="42">
        <v>6.285736181145E12</v>
      </c>
      <c r="J114" s="42" t="s">
        <v>1077</v>
      </c>
      <c r="K114" s="42" t="s">
        <v>1887</v>
      </c>
      <c r="L114" s="58">
        <v>1.23456789E9</v>
      </c>
      <c r="M114" s="47"/>
      <c r="N114" s="48" t="e">
        <v>#N/A</v>
      </c>
      <c r="O114" s="48" t="s">
        <v>1343</v>
      </c>
      <c r="P114" s="49">
        <f>vlookup(B114,'RAW DATA'!B:U,14,0)</f>
        <v>46265</v>
      </c>
    </row>
    <row r="115" ht="22.5" customHeight="1">
      <c r="A115" s="50" t="s">
        <v>126</v>
      </c>
      <c r="B115" s="50" t="s">
        <v>274</v>
      </c>
      <c r="C115" s="50" t="s">
        <v>1888</v>
      </c>
      <c r="D115" s="52">
        <v>38044.0</v>
      </c>
      <c r="E115" s="50" t="str">
        <f t="shared" si="1"/>
        <v>27 Februari 2004</v>
      </c>
      <c r="F115" s="50" t="s">
        <v>1889</v>
      </c>
      <c r="G115" s="50" t="str">
        <f t="shared" si="2"/>
        <v>sidoarjo,27 Februari 2004</v>
      </c>
      <c r="H115" s="50" t="s">
        <v>1324</v>
      </c>
      <c r="I115" s="53" t="s">
        <v>1890</v>
      </c>
      <c r="J115" s="50" t="s">
        <v>1317</v>
      </c>
      <c r="K115" s="50" t="s">
        <v>1891</v>
      </c>
      <c r="L115" s="55">
        <v>5.065480881E9</v>
      </c>
      <c r="M115" s="56"/>
      <c r="N115" s="57" t="s">
        <v>126</v>
      </c>
      <c r="O115" s="57" t="s">
        <v>1807</v>
      </c>
      <c r="P115" s="49" t="str">
        <f>vlookup(B115,'RAW DATA'!B:U,14,0)</f>
        <v/>
      </c>
    </row>
    <row r="116" ht="22.5" customHeight="1">
      <c r="A116" s="42" t="s">
        <v>205</v>
      </c>
      <c r="B116" s="42" t="s">
        <v>277</v>
      </c>
      <c r="C116" s="42" t="s">
        <v>1892</v>
      </c>
      <c r="D116" s="43">
        <v>35874.0</v>
      </c>
      <c r="E116" s="42" t="str">
        <f t="shared" si="1"/>
        <v>20 Maret 1998</v>
      </c>
      <c r="F116" s="42" t="s">
        <v>1893</v>
      </c>
      <c r="G116" s="42" t="str">
        <f t="shared" si="2"/>
        <v>Sumedang,20 Maret 1998</v>
      </c>
      <c r="H116" s="42" t="s">
        <v>1324</v>
      </c>
      <c r="I116" s="45" t="s">
        <v>1894</v>
      </c>
      <c r="J116" s="42" t="s">
        <v>1895</v>
      </c>
      <c r="K116" s="42" t="s">
        <v>1896</v>
      </c>
      <c r="L116" s="58">
        <v>2.031154997E9</v>
      </c>
      <c r="M116" s="47"/>
      <c r="N116" s="48" t="s">
        <v>205</v>
      </c>
      <c r="O116" s="48" t="s">
        <v>1343</v>
      </c>
      <c r="P116" s="49" t="str">
        <f>vlookup(B116,'RAW DATA'!B:U,14,0)</f>
        <v/>
      </c>
    </row>
    <row r="117" ht="22.5" customHeight="1">
      <c r="A117" s="50" t="s">
        <v>205</v>
      </c>
      <c r="B117" s="50" t="s">
        <v>1163</v>
      </c>
      <c r="C117" s="50" t="s">
        <v>1897</v>
      </c>
      <c r="D117" s="52">
        <v>38332.0</v>
      </c>
      <c r="E117" s="50" t="str">
        <f t="shared" si="1"/>
        <v>11 Desember 2004</v>
      </c>
      <c r="F117" s="50" t="s">
        <v>1822</v>
      </c>
      <c r="G117" s="50" t="str">
        <f t="shared" si="2"/>
        <v>Banyumas,11 Desember 2004</v>
      </c>
      <c r="H117" s="50" t="s">
        <v>1324</v>
      </c>
      <c r="I117" s="53" t="s">
        <v>1898</v>
      </c>
      <c r="J117" s="50" t="s">
        <v>1899</v>
      </c>
      <c r="K117" s="50" t="s">
        <v>1900</v>
      </c>
      <c r="L117" s="55">
        <v>1.570640999E9</v>
      </c>
      <c r="M117" s="56"/>
      <c r="N117" s="57" t="e">
        <v>#N/A</v>
      </c>
      <c r="O117" s="57" t="s">
        <v>1343</v>
      </c>
      <c r="P117" s="49" t="str">
        <f>vlookup(B117,'RAW DATA'!B:U,14,0)</f>
        <v/>
      </c>
    </row>
    <row r="118" ht="22.5" customHeight="1">
      <c r="A118" s="42" t="s">
        <v>777</v>
      </c>
      <c r="B118" s="59" t="s">
        <v>193</v>
      </c>
      <c r="C118" s="42" t="s">
        <v>1901</v>
      </c>
      <c r="D118" s="43">
        <v>33667.0</v>
      </c>
      <c r="E118" s="42" t="str">
        <f t="shared" si="1"/>
        <v>04 Maret 1992</v>
      </c>
      <c r="F118" s="42" t="s">
        <v>1902</v>
      </c>
      <c r="G118" s="42" t="str">
        <f t="shared" si="2"/>
        <v>Pangkalpinang ,04 Maret 1992</v>
      </c>
      <c r="H118" s="42" t="s">
        <v>1324</v>
      </c>
      <c r="I118" s="45" t="s">
        <v>1903</v>
      </c>
      <c r="J118" s="42" t="s">
        <v>991</v>
      </c>
      <c r="K118" s="42" t="s">
        <v>1904</v>
      </c>
      <c r="L118" s="58">
        <v>8.535125917E9</v>
      </c>
      <c r="M118" s="47"/>
      <c r="N118" s="48" t="e">
        <v>#N/A</v>
      </c>
      <c r="O118" s="48" t="s">
        <v>1807</v>
      </c>
      <c r="P118" s="49">
        <f>vlookup(B118,'RAW DATA'!B:U,14,0)</f>
        <v>46265</v>
      </c>
    </row>
    <row r="119" ht="22.5" customHeight="1">
      <c r="A119" s="60" t="s">
        <v>100</v>
      </c>
      <c r="B119" s="60" t="s">
        <v>567</v>
      </c>
      <c r="C119" s="60" t="s">
        <v>1905</v>
      </c>
      <c r="D119" s="61">
        <v>37595.0</v>
      </c>
      <c r="E119" s="60" t="str">
        <f t="shared" si="1"/>
        <v>05 Desember 2002</v>
      </c>
      <c r="F119" s="60" t="s">
        <v>1906</v>
      </c>
      <c r="G119" s="60" t="str">
        <f t="shared" si="2"/>
        <v>MAKASSAR ,05 Desember 2002</v>
      </c>
      <c r="H119" s="60" t="s">
        <v>1324</v>
      </c>
      <c r="I119" s="62" t="s">
        <v>1907</v>
      </c>
      <c r="J119" s="60" t="s">
        <v>1002</v>
      </c>
      <c r="K119" s="60" t="s">
        <v>1908</v>
      </c>
      <c r="L119" s="63">
        <v>1.23456789E8</v>
      </c>
      <c r="M119" s="75"/>
      <c r="N119" s="64" t="e">
        <v>#N/A</v>
      </c>
      <c r="O119" s="75"/>
      <c r="P119" s="49">
        <f>vlookup(B119,'RAW DATA'!B:U,14,0)</f>
        <v>46265</v>
      </c>
    </row>
    <row r="120" ht="22.5" customHeight="1">
      <c r="A120" s="42" t="s">
        <v>115</v>
      </c>
      <c r="B120" s="42" t="s">
        <v>367</v>
      </c>
      <c r="C120" s="42" t="s">
        <v>1909</v>
      </c>
      <c r="D120" s="43">
        <v>39148.0</v>
      </c>
      <c r="E120" s="42" t="str">
        <f t="shared" si="1"/>
        <v>07 Maret 2007</v>
      </c>
      <c r="F120" s="42" t="s">
        <v>1730</v>
      </c>
      <c r="G120" s="42" t="str">
        <f t="shared" si="2"/>
        <v>Samarinda,07 Maret 2007</v>
      </c>
      <c r="H120" s="42" t="s">
        <v>1324</v>
      </c>
      <c r="I120" s="45" t="s">
        <v>1910</v>
      </c>
      <c r="J120" s="42" t="s">
        <v>1911</v>
      </c>
      <c r="K120" s="42" t="s">
        <v>1912</v>
      </c>
      <c r="L120" s="58">
        <v>8.355484218E9</v>
      </c>
      <c r="M120" s="47"/>
      <c r="N120" s="48" t="e">
        <v>#N/A</v>
      </c>
      <c r="O120" s="47"/>
      <c r="P120" s="49" t="str">
        <f>vlookup(B120,'RAW DATA'!B:U,14,0)</f>
        <v/>
      </c>
    </row>
    <row r="121" ht="22.5" customHeight="1">
      <c r="A121" s="50" t="s">
        <v>100</v>
      </c>
      <c r="B121" s="51" t="s">
        <v>1122</v>
      </c>
      <c r="C121" s="50" t="s">
        <v>1913</v>
      </c>
      <c r="D121" s="52">
        <v>33792.0</v>
      </c>
      <c r="E121" s="50" t="str">
        <f t="shared" si="1"/>
        <v>07 Juli 1992</v>
      </c>
      <c r="F121" s="50" t="s">
        <v>1914</v>
      </c>
      <c r="G121" s="50" t="str">
        <f t="shared" si="2"/>
        <v>Sulawesi Tengah ,07 Juli 1992</v>
      </c>
      <c r="H121" s="50" t="s">
        <v>1324</v>
      </c>
      <c r="I121" s="53" t="s">
        <v>1915</v>
      </c>
      <c r="J121" s="50" t="s">
        <v>1916</v>
      </c>
      <c r="K121" s="50" t="s">
        <v>1917</v>
      </c>
      <c r="L121" s="55">
        <v>7.795089454E9</v>
      </c>
      <c r="M121" s="56"/>
      <c r="N121" s="57" t="e">
        <v>#N/A</v>
      </c>
      <c r="O121" s="57" t="s">
        <v>1918</v>
      </c>
      <c r="P121" s="49" t="str">
        <f>vlookup(B121,'RAW DATA'!B:U,14,0)</f>
        <v/>
      </c>
    </row>
    <row r="122" ht="22.5" customHeight="1">
      <c r="A122" s="42" t="s">
        <v>857</v>
      </c>
      <c r="B122" s="42" t="s">
        <v>855</v>
      </c>
      <c r="C122" s="42" t="s">
        <v>1919</v>
      </c>
      <c r="D122" s="43">
        <v>37094.0</v>
      </c>
      <c r="E122" s="42" t="str">
        <f t="shared" si="1"/>
        <v>22 Juli 2001</v>
      </c>
      <c r="F122" s="42" t="s">
        <v>1795</v>
      </c>
      <c r="G122" s="42" t="str">
        <f t="shared" si="2"/>
        <v>Temanggung,22 Juli 2001</v>
      </c>
      <c r="H122" s="42" t="s">
        <v>1374</v>
      </c>
      <c r="I122" s="45" t="s">
        <v>1920</v>
      </c>
      <c r="J122" s="42" t="s">
        <v>1921</v>
      </c>
      <c r="K122" s="42" t="s">
        <v>1922</v>
      </c>
      <c r="L122" s="58">
        <v>3.66601044029534E14</v>
      </c>
      <c r="M122" s="47"/>
      <c r="N122" s="48" t="e">
        <v>#N/A</v>
      </c>
      <c r="O122" s="47"/>
      <c r="P122" s="49" t="str">
        <f>vlookup(B122,'RAW DATA'!B:U,14,0)</f>
        <v/>
      </c>
    </row>
    <row r="123" ht="22.5" customHeight="1">
      <c r="A123" s="50" t="s">
        <v>975</v>
      </c>
      <c r="B123" s="50" t="s">
        <v>1923</v>
      </c>
      <c r="C123" s="50" t="s">
        <v>1924</v>
      </c>
      <c r="D123" s="52">
        <v>35981.0</v>
      </c>
      <c r="E123" s="50" t="str">
        <f t="shared" si="1"/>
        <v>05 Juli 1998</v>
      </c>
      <c r="F123" s="50" t="s">
        <v>1925</v>
      </c>
      <c r="G123" s="50" t="str">
        <f t="shared" si="2"/>
        <v>garut,05 Juli 1998</v>
      </c>
      <c r="H123" s="50" t="s">
        <v>1324</v>
      </c>
      <c r="I123" s="53" t="s">
        <v>1926</v>
      </c>
      <c r="J123" s="50" t="s">
        <v>1927</v>
      </c>
      <c r="K123" s="50" t="s">
        <v>1928</v>
      </c>
      <c r="L123" s="55">
        <v>1.481886355E9</v>
      </c>
      <c r="M123" s="56"/>
      <c r="N123" s="57" t="e">
        <v>#N/A</v>
      </c>
      <c r="O123" s="56"/>
      <c r="P123" s="49" t="str">
        <f>vlookup(B123,'RAW DATA'!B:U,14,0)</f>
        <v/>
      </c>
    </row>
    <row r="124" ht="22.5" customHeight="1">
      <c r="A124" s="42" t="s">
        <v>126</v>
      </c>
      <c r="B124" s="42" t="s">
        <v>278</v>
      </c>
      <c r="C124" s="42" t="s">
        <v>1929</v>
      </c>
      <c r="D124" s="43">
        <v>36971.0</v>
      </c>
      <c r="E124" s="42" t="str">
        <f t="shared" si="1"/>
        <v>21 Maret 2001</v>
      </c>
      <c r="F124" s="42" t="s">
        <v>1450</v>
      </c>
      <c r="G124" s="42" t="str">
        <f t="shared" si="2"/>
        <v>Surabaya,21 Maret 2001</v>
      </c>
      <c r="H124" s="42" t="s">
        <v>1324</v>
      </c>
      <c r="I124" s="45" t="s">
        <v>1930</v>
      </c>
      <c r="J124" s="42" t="s">
        <v>1931</v>
      </c>
      <c r="K124" s="42" t="s">
        <v>1932</v>
      </c>
      <c r="L124" s="58">
        <v>8.291068537E9</v>
      </c>
      <c r="M124" s="47"/>
      <c r="N124" s="48" t="s">
        <v>126</v>
      </c>
      <c r="O124" s="47"/>
      <c r="P124" s="49" t="str">
        <f>vlookup(B124,'RAW DATA'!B:U,14,0)</f>
        <v/>
      </c>
    </row>
    <row r="125" ht="22.5" customHeight="1">
      <c r="A125" s="50" t="s">
        <v>857</v>
      </c>
      <c r="B125" s="50" t="s">
        <v>1933</v>
      </c>
      <c r="C125" s="50" t="s">
        <v>1934</v>
      </c>
      <c r="D125" s="52">
        <v>38790.0</v>
      </c>
      <c r="E125" s="50" t="str">
        <f t="shared" si="1"/>
        <v>14 Maret 2006</v>
      </c>
      <c r="F125" s="50" t="s">
        <v>1935</v>
      </c>
      <c r="G125" s="50" t="str">
        <f t="shared" si="2"/>
        <v>sukoharjo,14 Maret 2006</v>
      </c>
      <c r="H125" s="50" t="s">
        <v>1324</v>
      </c>
      <c r="I125" s="53" t="s">
        <v>1936</v>
      </c>
      <c r="J125" s="50" t="s">
        <v>649</v>
      </c>
      <c r="K125" s="50" t="s">
        <v>1937</v>
      </c>
      <c r="L125" s="55">
        <v>7.851256753E9</v>
      </c>
      <c r="M125" s="56"/>
      <c r="N125" s="57" t="s">
        <v>857</v>
      </c>
      <c r="O125" s="56"/>
      <c r="P125" s="49">
        <f>vlookup(B125,'RAW DATA'!B:U,14,0)</f>
        <v>46265</v>
      </c>
    </row>
    <row r="126" ht="22.5" customHeight="1">
      <c r="A126" s="42" t="s">
        <v>214</v>
      </c>
      <c r="B126" s="59" t="s">
        <v>1938</v>
      </c>
      <c r="C126" s="42" t="s">
        <v>1939</v>
      </c>
      <c r="D126" s="43">
        <v>34541.0</v>
      </c>
      <c r="E126" s="42" t="str">
        <f t="shared" si="1"/>
        <v>26 Juli 1994</v>
      </c>
      <c r="F126" s="42" t="s">
        <v>1540</v>
      </c>
      <c r="G126" s="42" t="str">
        <f t="shared" si="2"/>
        <v>Semarang ,26 Juli 1994</v>
      </c>
      <c r="H126" s="42" t="s">
        <v>1374</v>
      </c>
      <c r="I126" s="45" t="s">
        <v>1940</v>
      </c>
      <c r="J126" s="42" t="s">
        <v>1941</v>
      </c>
      <c r="K126" s="42" t="s">
        <v>1942</v>
      </c>
      <c r="L126" s="46" t="s">
        <v>1943</v>
      </c>
      <c r="M126" s="47"/>
      <c r="N126" s="48" t="e">
        <v>#N/A</v>
      </c>
      <c r="O126" s="47"/>
      <c r="P126" s="49" t="str">
        <f>vlookup(B126,'RAW DATA'!B:U,14,0)</f>
        <v/>
      </c>
    </row>
    <row r="127" ht="22.5" customHeight="1">
      <c r="A127" s="50" t="s">
        <v>791</v>
      </c>
      <c r="B127" s="50" t="s">
        <v>1027</v>
      </c>
      <c r="C127" s="50" t="s">
        <v>1944</v>
      </c>
      <c r="D127" s="52">
        <v>35378.0</v>
      </c>
      <c r="E127" s="50" t="str">
        <f t="shared" si="1"/>
        <v>09 November 1996</v>
      </c>
      <c r="F127" s="50" t="s">
        <v>758</v>
      </c>
      <c r="G127" s="50" t="str">
        <f t="shared" si="2"/>
        <v>Jakarta,09 November 1996</v>
      </c>
      <c r="H127" s="50" t="s">
        <v>1324</v>
      </c>
      <c r="I127" s="53" t="s">
        <v>1945</v>
      </c>
      <c r="J127" s="50" t="s">
        <v>1946</v>
      </c>
      <c r="K127" s="50" t="s">
        <v>1947</v>
      </c>
      <c r="L127" s="55">
        <v>5.235189965E9</v>
      </c>
      <c r="M127" s="56"/>
      <c r="N127" s="57" t="e">
        <v>#N/A</v>
      </c>
      <c r="O127" s="56"/>
      <c r="P127" s="49" t="str">
        <f>vlookup(B127,'RAW DATA'!B:U,14,0)</f>
        <v/>
      </c>
    </row>
    <row r="128" ht="22.5" customHeight="1">
      <c r="A128" s="42" t="s">
        <v>1132</v>
      </c>
      <c r="B128" s="42" t="s">
        <v>1948</v>
      </c>
      <c r="C128" s="42" t="s">
        <v>1949</v>
      </c>
      <c r="D128" s="43">
        <v>38418.0</v>
      </c>
      <c r="E128" s="42" t="str">
        <f t="shared" si="1"/>
        <v>07 Maret 2005</v>
      </c>
      <c r="F128" s="42" t="s">
        <v>1373</v>
      </c>
      <c r="G128" s="42" t="str">
        <f t="shared" si="2"/>
        <v>Banyuwangi,07 Maret 2005</v>
      </c>
      <c r="H128" s="42" t="s">
        <v>1324</v>
      </c>
      <c r="I128" s="45" t="s">
        <v>1950</v>
      </c>
      <c r="J128" s="42" t="s">
        <v>1951</v>
      </c>
      <c r="K128" s="42" t="s">
        <v>1952</v>
      </c>
      <c r="L128" s="58">
        <v>2.631082264E9</v>
      </c>
      <c r="M128" s="47"/>
      <c r="N128" s="48" t="e">
        <v>#N/A</v>
      </c>
      <c r="O128" s="47"/>
      <c r="P128" s="49">
        <f>vlookup(B128,'RAW DATA'!B:U,14,0)</f>
        <v>46290</v>
      </c>
    </row>
    <row r="129" ht="22.5" customHeight="1">
      <c r="A129" s="50" t="s">
        <v>931</v>
      </c>
      <c r="B129" s="50" t="s">
        <v>1953</v>
      </c>
      <c r="C129" s="50" t="s">
        <v>1954</v>
      </c>
      <c r="D129" s="52">
        <v>38497.0</v>
      </c>
      <c r="E129" s="50" t="str">
        <f t="shared" si="1"/>
        <v>25 Mei 2005</v>
      </c>
      <c r="F129" s="50" t="s">
        <v>1955</v>
      </c>
      <c r="G129" s="50" t="str">
        <f t="shared" si="2"/>
        <v>JEMBER ,25 Mei 2005</v>
      </c>
      <c r="H129" s="50" t="s">
        <v>1324</v>
      </c>
      <c r="I129" s="53" t="s">
        <v>1956</v>
      </c>
      <c r="J129" s="50" t="s">
        <v>1957</v>
      </c>
      <c r="K129" s="50" t="s">
        <v>1958</v>
      </c>
      <c r="L129" s="55">
        <v>1.23456789E9</v>
      </c>
      <c r="M129" s="56"/>
      <c r="N129" s="57" t="e">
        <v>#N/A</v>
      </c>
      <c r="O129" s="56"/>
      <c r="P129" s="49">
        <f>vlookup(B129,'RAW DATA'!B:U,14,0)</f>
        <v>46290</v>
      </c>
    </row>
    <row r="130" ht="22.5" customHeight="1">
      <c r="A130" s="42" t="s">
        <v>1959</v>
      </c>
      <c r="B130" s="42" t="s">
        <v>1960</v>
      </c>
      <c r="C130" s="42" t="s">
        <v>1961</v>
      </c>
      <c r="D130" s="43">
        <v>38179.0</v>
      </c>
      <c r="E130" s="42" t="str">
        <f t="shared" si="1"/>
        <v>11 Juli 2004</v>
      </c>
      <c r="F130" s="42" t="s">
        <v>1962</v>
      </c>
      <c r="G130" s="42" t="str">
        <f t="shared" si="2"/>
        <v>Kota Raha ,11 Juli 2004</v>
      </c>
      <c r="H130" s="42" t="s">
        <v>1374</v>
      </c>
      <c r="I130" s="45" t="s">
        <v>1963</v>
      </c>
      <c r="J130" s="42" t="s">
        <v>1964</v>
      </c>
      <c r="K130" s="42" t="s">
        <v>1965</v>
      </c>
      <c r="L130" s="58">
        <v>1.23456789E9</v>
      </c>
      <c r="M130" s="47"/>
      <c r="N130" s="48" t="e">
        <v>#N/A</v>
      </c>
      <c r="O130" s="47"/>
      <c r="P130" s="49">
        <f>vlookup(B130,'RAW DATA'!B:U,14,0)</f>
        <v>46290</v>
      </c>
    </row>
    <row r="131" ht="22.5" customHeight="1">
      <c r="A131" s="50" t="s">
        <v>1106</v>
      </c>
      <c r="B131" s="50" t="s">
        <v>1966</v>
      </c>
      <c r="C131" s="50" t="s">
        <v>1967</v>
      </c>
      <c r="D131" s="52">
        <v>39218.0</v>
      </c>
      <c r="E131" s="50" t="str">
        <f t="shared" si="1"/>
        <v>16 Mei 2007</v>
      </c>
      <c r="F131" s="50" t="s">
        <v>78</v>
      </c>
      <c r="G131" s="50" t="str">
        <f t="shared" si="2"/>
        <v>BANJARMASIN,16 Mei 2007</v>
      </c>
      <c r="H131" s="50" t="s">
        <v>1324</v>
      </c>
      <c r="I131" s="53" t="s">
        <v>1968</v>
      </c>
      <c r="J131" s="50" t="s">
        <v>1969</v>
      </c>
      <c r="K131" s="50" t="s">
        <v>1970</v>
      </c>
      <c r="L131" s="55">
        <v>7.896025791E9</v>
      </c>
      <c r="M131" s="56"/>
      <c r="N131" s="57" t="e">
        <v>#N/A</v>
      </c>
      <c r="O131" s="56"/>
      <c r="P131" s="49">
        <f>vlookup(B131,'RAW DATA'!B:U,14,0)</f>
        <v>46290</v>
      </c>
    </row>
    <row r="132" ht="22.5" customHeight="1">
      <c r="A132" s="79" t="s">
        <v>922</v>
      </c>
      <c r="B132" s="79" t="s">
        <v>1971</v>
      </c>
      <c r="C132" s="79" t="s">
        <v>1972</v>
      </c>
      <c r="D132" s="80">
        <v>33739.0</v>
      </c>
      <c r="E132" s="79" t="str">
        <f t="shared" si="1"/>
        <v>15 Mei 1992</v>
      </c>
      <c r="F132" s="79" t="s">
        <v>1973</v>
      </c>
      <c r="G132" s="79" t="str">
        <f t="shared" si="2"/>
        <v>MURUNG PUDAK,15 Mei 1992</v>
      </c>
      <c r="H132" s="79" t="s">
        <v>1374</v>
      </c>
      <c r="I132" s="81" t="s">
        <v>1974</v>
      </c>
      <c r="J132" s="79" t="s">
        <v>1975</v>
      </c>
      <c r="K132" s="79" t="s">
        <v>921</v>
      </c>
      <c r="L132" s="82">
        <v>8.695363385E9</v>
      </c>
      <c r="M132" s="47"/>
      <c r="N132" s="48" t="e">
        <v>#N/A</v>
      </c>
      <c r="O132" s="47"/>
      <c r="P132" s="49">
        <f>vlookup(B132,'RAW DATA'!B:U,14,0)</f>
        <v>46290</v>
      </c>
    </row>
  </sheetData>
  <drawing r:id="rId1"/>
  <tableParts count="1">
    <tablePart r:id="rId3"/>
  </tableParts>
</worksheet>
</file>